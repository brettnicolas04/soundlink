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rledu-my.sharepoint.com/personal/nicolas_brett_alumni_esade_edu/Documents/"/>
    </mc:Choice>
  </mc:AlternateContent>
  <xr:revisionPtr revIDLastSave="1383" documentId="8_{9C7DDBF8-C331-324A-B266-3A1DAFAFEB2F}" xr6:coauthVersionLast="47" xr6:coauthVersionMax="47" xr10:uidLastSave="{F952FF64-AE10-4948-A636-FCD7DEFF7E61}"/>
  <bookViews>
    <workbookView xWindow="0" yWindow="740" windowWidth="29400" windowHeight="18380" tabRatio="629" firstSheet="2" activeTab="2" xr2:uid="{00000000-000D-0000-FFFF-FFFF00000000}"/>
  </bookViews>
  <sheets>
    <sheet name="Intro" sheetId="1" r:id="rId1"/>
    <sheet name="1.Hiring Plan" sheetId="3" r:id="rId2"/>
    <sheet name="2. SalesPlan" sheetId="2" r:id="rId3"/>
    <sheet name="3. Profit &amp; Loss (Income)" sheetId="4" r:id="rId4"/>
    <sheet name="4. Cash-flow statement" sheetId="5" r:id="rId5"/>
    <sheet name="5. Balance Sheet" sheetId="7" r:id="rId6"/>
    <sheet name="6. CAC &amp; CLV" sheetId="6" r:id="rId7"/>
    <sheet name="7. Sensitivity Analysis" sheetId="9" r:id="rId8"/>
    <sheet name="8. KPIs" sheetId="10" r:id="rId9"/>
    <sheet name="9. Cap Tables" sheetId="11" r:id="rId10"/>
  </sheets>
  <externalReferences>
    <externalReference r:id="rId1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6" l="1"/>
  <c r="R25" i="4"/>
  <c r="B4" i="11"/>
  <c r="H12" i="10"/>
  <c r="H13" i="10"/>
  <c r="H14" i="10"/>
  <c r="H15" i="10"/>
  <c r="H11" i="10"/>
  <c r="G15" i="10"/>
  <c r="G14" i="10"/>
  <c r="G13" i="10"/>
  <c r="G12" i="10"/>
  <c r="G11" i="10"/>
  <c r="F15" i="10"/>
  <c r="F14" i="10"/>
  <c r="F13" i="10"/>
  <c r="F12" i="10"/>
  <c r="F11" i="10"/>
  <c r="E15" i="10"/>
  <c r="E14" i="10"/>
  <c r="E13" i="10"/>
  <c r="E12" i="10"/>
  <c r="E11" i="10"/>
  <c r="D15" i="10"/>
  <c r="D14" i="10"/>
  <c r="D13" i="10"/>
  <c r="D12" i="10"/>
  <c r="D11" i="10"/>
  <c r="C29" i="9"/>
  <c r="C28" i="9"/>
  <c r="C27" i="9"/>
  <c r="D20" i="9"/>
  <c r="C20" i="9"/>
  <c r="C19" i="9" s="1"/>
  <c r="D13" i="9"/>
  <c r="D14" i="9" s="1"/>
  <c r="B31" i="6"/>
  <c r="B30" i="6"/>
  <c r="B32" i="6" s="1"/>
  <c r="B34" i="6" s="1"/>
  <c r="B22" i="6"/>
  <c r="B23" i="6" s="1"/>
  <c r="B29" i="6" s="1"/>
  <c r="B14" i="6"/>
  <c r="B10" i="6"/>
  <c r="F43" i="7"/>
  <c r="F33" i="7"/>
  <c r="F8" i="7"/>
  <c r="Q6" i="5"/>
  <c r="Q27" i="5"/>
  <c r="E27" i="5"/>
  <c r="F27" i="5"/>
  <c r="G27" i="5"/>
  <c r="H27" i="5"/>
  <c r="I27" i="5"/>
  <c r="J27" i="5"/>
  <c r="K27" i="5"/>
  <c r="L27" i="5"/>
  <c r="M27" i="5"/>
  <c r="N27" i="5"/>
  <c r="O27" i="5"/>
  <c r="P27" i="5"/>
  <c r="Q24" i="5"/>
  <c r="P30" i="5"/>
  <c r="Q30" i="5" s="1"/>
  <c r="O30" i="5"/>
  <c r="N30" i="5"/>
  <c r="M30" i="5"/>
  <c r="L30" i="5"/>
  <c r="K30" i="5"/>
  <c r="J30" i="5"/>
  <c r="I30" i="5"/>
  <c r="H30" i="5"/>
  <c r="G30" i="5"/>
  <c r="F30" i="5"/>
  <c r="F20" i="5"/>
  <c r="G20" i="5"/>
  <c r="H20" i="5"/>
  <c r="I20" i="5"/>
  <c r="J20" i="5"/>
  <c r="K20" i="5"/>
  <c r="L20" i="5"/>
  <c r="M20" i="5"/>
  <c r="N20" i="5"/>
  <c r="O20" i="5"/>
  <c r="P20" i="5"/>
  <c r="Q20" i="5"/>
  <c r="E20" i="5"/>
  <c r="F19" i="5"/>
  <c r="G19" i="5"/>
  <c r="H19" i="5"/>
  <c r="I19" i="5"/>
  <c r="J19" i="5"/>
  <c r="K19" i="5"/>
  <c r="L19" i="5"/>
  <c r="M19" i="5"/>
  <c r="N19" i="5"/>
  <c r="O19" i="5"/>
  <c r="P19" i="5"/>
  <c r="Q19" i="5"/>
  <c r="E19" i="5"/>
  <c r="F18" i="5"/>
  <c r="F21" i="5" s="1"/>
  <c r="G18" i="5"/>
  <c r="H18" i="5"/>
  <c r="I18" i="5"/>
  <c r="J18" i="5"/>
  <c r="K18" i="5"/>
  <c r="L18" i="5"/>
  <c r="M18" i="5"/>
  <c r="N18" i="5"/>
  <c r="O18" i="5"/>
  <c r="P18" i="5"/>
  <c r="Q18" i="5"/>
  <c r="E18" i="5"/>
  <c r="F17" i="5"/>
  <c r="G17" i="5"/>
  <c r="H17" i="5"/>
  <c r="I17" i="5"/>
  <c r="J17" i="5"/>
  <c r="K17" i="5"/>
  <c r="L17" i="5"/>
  <c r="M17" i="5"/>
  <c r="N17" i="5"/>
  <c r="O17" i="5"/>
  <c r="P17" i="5"/>
  <c r="Q17" i="5"/>
  <c r="E17" i="5"/>
  <c r="F16" i="5"/>
  <c r="G16" i="5"/>
  <c r="H16" i="5"/>
  <c r="I16" i="5"/>
  <c r="J16" i="5"/>
  <c r="K16" i="5"/>
  <c r="L16" i="5"/>
  <c r="M16" i="5"/>
  <c r="N16" i="5"/>
  <c r="O16" i="5"/>
  <c r="P16" i="5"/>
  <c r="Q16" i="5"/>
  <c r="E16" i="5"/>
  <c r="F11" i="5"/>
  <c r="G11" i="5"/>
  <c r="H11" i="5"/>
  <c r="I11" i="5"/>
  <c r="J11" i="5"/>
  <c r="K11" i="5"/>
  <c r="L11" i="5"/>
  <c r="M11" i="5"/>
  <c r="N11" i="5"/>
  <c r="O11" i="5"/>
  <c r="P11" i="5"/>
  <c r="Q11" i="5"/>
  <c r="E11" i="5"/>
  <c r="F10" i="5"/>
  <c r="G10" i="5"/>
  <c r="H10" i="5"/>
  <c r="I10" i="5"/>
  <c r="J10" i="5"/>
  <c r="K10" i="5"/>
  <c r="L10" i="5"/>
  <c r="M10" i="5"/>
  <c r="N10" i="5"/>
  <c r="O10" i="5"/>
  <c r="P10" i="5"/>
  <c r="Q10" i="5"/>
  <c r="E10" i="5"/>
  <c r="Q9" i="5"/>
  <c r="F9" i="5"/>
  <c r="G9" i="5"/>
  <c r="H9" i="5"/>
  <c r="I9" i="5"/>
  <c r="J9" i="5"/>
  <c r="K9" i="5"/>
  <c r="L9" i="5"/>
  <c r="M9" i="5"/>
  <c r="N9" i="5"/>
  <c r="O9" i="5"/>
  <c r="P9" i="5"/>
  <c r="E9" i="5"/>
  <c r="G24" i="4"/>
  <c r="H24" i="4"/>
  <c r="I24" i="4"/>
  <c r="J24" i="4"/>
  <c r="K24" i="4"/>
  <c r="L24" i="4"/>
  <c r="M24" i="4"/>
  <c r="N24" i="4"/>
  <c r="O24" i="4"/>
  <c r="P24" i="4"/>
  <c r="Q24" i="4"/>
  <c r="F24" i="4"/>
  <c r="J13" i="4"/>
  <c r="K13" i="4"/>
  <c r="L13" i="4"/>
  <c r="O13" i="4"/>
  <c r="P13" i="4"/>
  <c r="F13" i="4"/>
  <c r="R23" i="4"/>
  <c r="R24" i="4" s="1"/>
  <c r="R11" i="4"/>
  <c r="I19" i="4"/>
  <c r="J19" i="4"/>
  <c r="K19" i="4"/>
  <c r="L19" i="4"/>
  <c r="M19" i="4"/>
  <c r="N19" i="4"/>
  <c r="O19" i="4"/>
  <c r="P19" i="4"/>
  <c r="Q19" i="4"/>
  <c r="H19" i="4"/>
  <c r="R20" i="4"/>
  <c r="R17" i="4"/>
  <c r="R18" i="4"/>
  <c r="G17" i="4"/>
  <c r="H17" i="4"/>
  <c r="I17" i="4"/>
  <c r="J17" i="4"/>
  <c r="K17" i="4"/>
  <c r="L17" i="4"/>
  <c r="M17" i="4"/>
  <c r="N17" i="4"/>
  <c r="O17" i="4"/>
  <c r="P17" i="4"/>
  <c r="Q17" i="4"/>
  <c r="F17" i="4"/>
  <c r="Q7" i="4"/>
  <c r="P7" i="4"/>
  <c r="O7" i="4"/>
  <c r="N7" i="4"/>
  <c r="M7" i="4"/>
  <c r="L7" i="4"/>
  <c r="K7" i="4"/>
  <c r="J7" i="4"/>
  <c r="I7" i="4"/>
  <c r="H7" i="4"/>
  <c r="G7" i="4"/>
  <c r="F7" i="4"/>
  <c r="Q6" i="4"/>
  <c r="P6" i="4"/>
  <c r="O6" i="4"/>
  <c r="N6" i="4"/>
  <c r="M6" i="4"/>
  <c r="L6" i="4"/>
  <c r="K6" i="4"/>
  <c r="J6" i="4"/>
  <c r="I6" i="4"/>
  <c r="H6" i="4"/>
  <c r="G6" i="4"/>
  <c r="F6" i="4"/>
  <c r="Q5" i="4"/>
  <c r="Q12" i="4" s="1"/>
  <c r="Q13" i="4" s="1"/>
  <c r="P5" i="4"/>
  <c r="P12" i="4" s="1"/>
  <c r="O5" i="4"/>
  <c r="O12" i="4" s="1"/>
  <c r="N5" i="4"/>
  <c r="N12" i="4" s="1"/>
  <c r="N13" i="4" s="1"/>
  <c r="M5" i="4"/>
  <c r="M12" i="4" s="1"/>
  <c r="M13" i="4" s="1"/>
  <c r="L5" i="4"/>
  <c r="L12" i="4" s="1"/>
  <c r="K5" i="4"/>
  <c r="K12" i="4" s="1"/>
  <c r="J5" i="4"/>
  <c r="J12" i="4" s="1"/>
  <c r="I5" i="4"/>
  <c r="I12" i="4" s="1"/>
  <c r="I13" i="4" s="1"/>
  <c r="H5" i="4"/>
  <c r="H12" i="4" s="1"/>
  <c r="H13" i="4" s="1"/>
  <c r="G5" i="4"/>
  <c r="G12" i="4" s="1"/>
  <c r="G13" i="4" s="1"/>
  <c r="F5" i="4"/>
  <c r="F12" i="4" s="1"/>
  <c r="D3" i="2"/>
  <c r="J70" i="2"/>
  <c r="I70" i="2"/>
  <c r="I69" i="2"/>
  <c r="I68" i="2"/>
  <c r="I67" i="2"/>
  <c r="I66" i="2"/>
  <c r="I65" i="2"/>
  <c r="I64" i="2"/>
  <c r="I60" i="2"/>
  <c r="I61" i="2"/>
  <c r="I62" i="2"/>
  <c r="I63" i="2"/>
  <c r="I59" i="2"/>
  <c r="I24" i="2"/>
  <c r="I23" i="2"/>
  <c r="I22" i="2"/>
  <c r="I21" i="2"/>
  <c r="I20" i="2"/>
  <c r="I19" i="2"/>
  <c r="I18" i="2"/>
  <c r="I17" i="2"/>
  <c r="I16" i="2"/>
  <c r="I15" i="2"/>
  <c r="I14" i="2"/>
  <c r="I13" i="2"/>
  <c r="J13" i="2" s="1"/>
  <c r="K13" i="2" s="1"/>
  <c r="H13" i="2"/>
  <c r="H34" i="2" s="1"/>
  <c r="I34" i="2" s="1"/>
  <c r="J34" i="2" s="1"/>
  <c r="U9" i="2"/>
  <c r="I8" i="2"/>
  <c r="J8" i="2" s="1"/>
  <c r="J15" i="2" s="1"/>
  <c r="K15" i="2" s="1"/>
  <c r="I13" i="3"/>
  <c r="H13" i="3"/>
  <c r="J13" i="3"/>
  <c r="K13" i="3"/>
  <c r="L13" i="3"/>
  <c r="M13" i="3"/>
  <c r="N13" i="3"/>
  <c r="O13" i="3"/>
  <c r="P13" i="3"/>
  <c r="Q13" i="3"/>
  <c r="R13" i="3"/>
  <c r="S13" i="3"/>
  <c r="C13" i="3"/>
  <c r="B13" i="3"/>
  <c r="T11" i="3"/>
  <c r="C11" i="3"/>
  <c r="E19" i="9" l="1"/>
  <c r="C21" i="9"/>
  <c r="C22" i="9"/>
  <c r="D15" i="9"/>
  <c r="D12" i="9"/>
  <c r="D19" i="9"/>
  <c r="D21" i="9"/>
  <c r="E21" i="9" s="1"/>
  <c r="D22" i="9"/>
  <c r="E22" i="9" s="1"/>
  <c r="B26" i="6"/>
  <c r="B12" i="6"/>
  <c r="B15" i="6" s="1"/>
  <c r="B11" i="6"/>
  <c r="B16" i="6"/>
  <c r="N12" i="5"/>
  <c r="P21" i="5"/>
  <c r="P12" i="5"/>
  <c r="F12" i="5"/>
  <c r="O12" i="5"/>
  <c r="M12" i="5"/>
  <c r="J21" i="5"/>
  <c r="J12" i="5"/>
  <c r="K21" i="5"/>
  <c r="Q12" i="5"/>
  <c r="L12" i="5"/>
  <c r="H21" i="5"/>
  <c r="I12" i="5"/>
  <c r="O21" i="5"/>
  <c r="N21" i="5"/>
  <c r="M21" i="5"/>
  <c r="H12" i="5"/>
  <c r="E21" i="5"/>
  <c r="E12" i="5"/>
  <c r="G12" i="5"/>
  <c r="K12" i="5"/>
  <c r="G21" i="5"/>
  <c r="Q21" i="5"/>
  <c r="L21" i="5"/>
  <c r="I21" i="5"/>
  <c r="R12" i="4"/>
  <c r="R19" i="4"/>
  <c r="R21" i="4" s="1"/>
  <c r="N21" i="4"/>
  <c r="K21" i="4"/>
  <c r="J21" i="4"/>
  <c r="Q21" i="4"/>
  <c r="F8" i="4"/>
  <c r="M21" i="4"/>
  <c r="L21" i="4"/>
  <c r="I21" i="4"/>
  <c r="H21" i="4"/>
  <c r="O8" i="4"/>
  <c r="J8" i="4"/>
  <c r="K8" i="4"/>
  <c r="G21" i="4"/>
  <c r="R6" i="4"/>
  <c r="O21" i="4"/>
  <c r="P8" i="4"/>
  <c r="L8" i="4"/>
  <c r="L27" i="4" s="1"/>
  <c r="H8" i="4"/>
  <c r="H27" i="4" s="1"/>
  <c r="P21" i="4"/>
  <c r="R5" i="4"/>
  <c r="M8" i="4"/>
  <c r="Q8" i="4"/>
  <c r="R7" i="4"/>
  <c r="N8" i="4"/>
  <c r="N27" i="4" s="1"/>
  <c r="I8" i="4"/>
  <c r="G8" i="4"/>
  <c r="G27" i="4" s="1"/>
  <c r="H15" i="2"/>
  <c r="H36" i="2" s="1"/>
  <c r="I36" i="2" s="1"/>
  <c r="J36" i="2" s="1"/>
  <c r="H14" i="2"/>
  <c r="H35" i="2" s="1"/>
  <c r="I35" i="2" s="1"/>
  <c r="J35" i="2" s="1"/>
  <c r="J14" i="2"/>
  <c r="K14" i="2" s="1"/>
  <c r="K8" i="2"/>
  <c r="D13" i="3"/>
  <c r="F45" i="7"/>
  <c r="G39" i="7"/>
  <c r="G38" i="7"/>
  <c r="G37" i="7"/>
  <c r="G36" i="7"/>
  <c r="G35" i="7"/>
  <c r="G34" i="7"/>
  <c r="G22" i="7"/>
  <c r="G21" i="7"/>
  <c r="G20" i="7"/>
  <c r="G19" i="7"/>
  <c r="G18" i="7"/>
  <c r="F16" i="7"/>
  <c r="O4" i="5"/>
  <c r="P4" i="5"/>
  <c r="E4" i="5"/>
  <c r="F4" i="5"/>
  <c r="G4" i="5"/>
  <c r="H4" i="5"/>
  <c r="I4" i="5"/>
  <c r="J4" i="5"/>
  <c r="K4" i="5"/>
  <c r="L4" i="5"/>
  <c r="M4" i="5"/>
  <c r="N4" i="5"/>
  <c r="D4" i="5"/>
  <c r="P27" i="4" l="1"/>
  <c r="I27" i="4"/>
  <c r="Q27" i="4"/>
  <c r="K27" i="4"/>
  <c r="M27" i="4"/>
  <c r="J27" i="4"/>
  <c r="O27" i="4"/>
  <c r="R13" i="4"/>
  <c r="R28" i="4" s="1"/>
  <c r="R8" i="4"/>
  <c r="R14" i="4" s="1"/>
  <c r="R15" i="4" s="1"/>
  <c r="L8" i="2"/>
  <c r="J16" i="2"/>
  <c r="K16" i="2" s="1"/>
  <c r="H16" i="2"/>
  <c r="H37" i="2" s="1"/>
  <c r="I37" i="2" s="1"/>
  <c r="J37" i="2" s="1"/>
  <c r="L17" i="3"/>
  <c r="M17" i="3"/>
  <c r="N17" i="3"/>
  <c r="O17" i="3"/>
  <c r="P17" i="3"/>
  <c r="Q17" i="3"/>
  <c r="R17" i="3"/>
  <c r="I17" i="3"/>
  <c r="S17" i="3"/>
  <c r="J17" i="3"/>
  <c r="K17" i="3"/>
  <c r="F23" i="7"/>
  <c r="F40" i="7"/>
  <c r="G13" i="7"/>
  <c r="G40" i="7"/>
  <c r="F13" i="7"/>
  <c r="G16" i="7"/>
  <c r="G23" i="7" s="1"/>
  <c r="G27" i="7" s="1"/>
  <c r="D11" i="3"/>
  <c r="J11" i="3" s="1"/>
  <c r="B5" i="11" l="1"/>
  <c r="E20" i="9"/>
  <c r="D27" i="9" s="1"/>
  <c r="E13" i="9"/>
  <c r="F44" i="7"/>
  <c r="F46" i="7" s="1"/>
  <c r="F27" i="7"/>
  <c r="E28" i="5"/>
  <c r="F6" i="5" s="1"/>
  <c r="F28" i="5" s="1"/>
  <c r="G6" i="5" s="1"/>
  <c r="G28" i="5" s="1"/>
  <c r="H6" i="5" s="1"/>
  <c r="H28" i="5" s="1"/>
  <c r="I6" i="5" s="1"/>
  <c r="I28" i="5" s="1"/>
  <c r="J6" i="5" s="1"/>
  <c r="J28" i="5" s="1"/>
  <c r="K6" i="5" s="1"/>
  <c r="K28" i="5" s="1"/>
  <c r="L6" i="5" s="1"/>
  <c r="L28" i="5" s="1"/>
  <c r="M6" i="5" s="1"/>
  <c r="M28" i="5" s="1"/>
  <c r="N6" i="5" s="1"/>
  <c r="N28" i="5" s="1"/>
  <c r="O6" i="5" s="1"/>
  <c r="O28" i="5" s="1"/>
  <c r="P6" i="5" s="1"/>
  <c r="P28" i="5" s="1"/>
  <c r="Q28" i="5" s="1"/>
  <c r="M8" i="2"/>
  <c r="J17" i="2"/>
  <c r="K17" i="2" s="1"/>
  <c r="H17" i="2"/>
  <c r="H38" i="2" s="1"/>
  <c r="I38" i="2" s="1"/>
  <c r="J38" i="2" s="1"/>
  <c r="H17" i="3"/>
  <c r="T13" i="3"/>
  <c r="T17" i="3" s="1"/>
  <c r="F48" i="7"/>
  <c r="S11" i="3"/>
  <c r="Q11" i="3"/>
  <c r="O11" i="3"/>
  <c r="M11" i="3"/>
  <c r="K11" i="3"/>
  <c r="I11" i="3"/>
  <c r="H11" i="3"/>
  <c r="R11" i="3"/>
  <c r="P11" i="3"/>
  <c r="N11" i="3"/>
  <c r="L11" i="3"/>
  <c r="E15" i="9" l="1"/>
  <c r="E14" i="9"/>
  <c r="E12" i="9"/>
  <c r="D28" i="9"/>
  <c r="D29" i="9"/>
  <c r="D26" i="9"/>
  <c r="B6" i="11"/>
  <c r="C4" i="11" s="1"/>
  <c r="N8" i="2"/>
  <c r="H18" i="2"/>
  <c r="H39" i="2" s="1"/>
  <c r="I39" i="2" s="1"/>
  <c r="J39" i="2" s="1"/>
  <c r="J18" i="2"/>
  <c r="K18" i="2" s="1"/>
  <c r="C5" i="11" l="1"/>
  <c r="C6" i="11" s="1"/>
  <c r="O8" i="2"/>
  <c r="H19" i="2"/>
  <c r="H40" i="2" s="1"/>
  <c r="I40" i="2" s="1"/>
  <c r="J40" i="2" s="1"/>
  <c r="J19" i="2"/>
  <c r="K19" i="2" s="1"/>
  <c r="P8" i="2" l="1"/>
  <c r="H20" i="2"/>
  <c r="H41" i="2" s="1"/>
  <c r="I41" i="2" s="1"/>
  <c r="J41" i="2" s="1"/>
  <c r="J20" i="2"/>
  <c r="K20" i="2" s="1"/>
  <c r="Q8" i="2" l="1"/>
  <c r="H21" i="2"/>
  <c r="H42" i="2" s="1"/>
  <c r="I42" i="2" s="1"/>
  <c r="J42" i="2" s="1"/>
  <c r="J21" i="2"/>
  <c r="K21" i="2" s="1"/>
  <c r="R8" i="2" l="1"/>
  <c r="J22" i="2"/>
  <c r="K22" i="2" s="1"/>
  <c r="H22" i="2"/>
  <c r="H43" i="2" s="1"/>
  <c r="I43" i="2" s="1"/>
  <c r="J43" i="2" s="1"/>
  <c r="F21" i="4"/>
  <c r="F27" i="4" s="1"/>
  <c r="S8" i="2" l="1"/>
  <c r="J23" i="2"/>
  <c r="K23" i="2" s="1"/>
  <c r="H23" i="2"/>
  <c r="H44" i="2" s="1"/>
  <c r="I44" i="2" l="1"/>
  <c r="J44" i="2" s="1"/>
  <c r="U8" i="2"/>
  <c r="J24" i="2"/>
  <c r="K24" i="2" s="1"/>
  <c r="L24" i="2" s="1"/>
  <c r="H24" i="2"/>
  <c r="H45" i="2" s="1"/>
  <c r="I45" i="2" s="1"/>
  <c r="J45" i="2" s="1"/>
  <c r="K4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</author>
  </authors>
  <commentList>
    <comment ref="A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Jan:</t>
        </r>
        <r>
          <rPr>
            <sz val="9"/>
            <color indexed="81"/>
            <rFont val="Tahoma"/>
            <family val="2"/>
          </rPr>
          <t xml:space="preserve">
This is a sample cell comment. :-)
If you have problems reading comments: right click and choose edit comment!</t>
        </r>
      </text>
    </comment>
    <comment ref="A1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Also called income statement.
http://www.investopedia.com/terms/p/plstatement.asp
</t>
        </r>
      </text>
    </comment>
    <comment ref="A1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Cash-Flow statement? Try searching the internet:
http://www.investopedia.com/articles/04/033104.asp
or
http://en.wikipedia.org/wiki/Cash_flow_statement
or
http://www.google.com/images?hl=en&amp;q=cash+flow+statement&amp;um=1&amp;ie=UTF-8&amp;source=univ&amp;ei=tDldTNyOE9-H4gbF07S7Ag&amp;sa=X&amp;oi=image_result_group&amp;ct=title&amp;resnum=4&amp;ved=0CEIQsAQwAw&amp;biw=1070&amp;bih=673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</author>
  </authors>
  <commentList>
    <comment ref="G6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Jan:</t>
        </r>
        <r>
          <rPr>
            <sz val="9"/>
            <color indexed="81"/>
            <rFont val="Tahoma"/>
            <family val="2"/>
          </rPr>
          <t xml:space="preserve">
Excluding boni
</t>
        </r>
      </text>
    </comment>
  </commentList>
</comments>
</file>

<file path=xl/sharedStrings.xml><?xml version="1.0" encoding="utf-8"?>
<sst xmlns="http://schemas.openxmlformats.org/spreadsheetml/2006/main" count="286" uniqueCount="226">
  <si>
    <t>Welcome!</t>
  </si>
  <si>
    <t>This spreadsheet is intended to help you do financial planning in a start-up.</t>
  </si>
  <si>
    <t>It should not be used as a "fill-in-the-blanks", but as a guide to understand the planning concepts.</t>
  </si>
  <si>
    <t>Start-ups and their planning varies a lot depending on the type. At times, I provide examples for different start-up types.</t>
  </si>
  <si>
    <t>This is not a best-practice approach, but illustrates possible approaches. Note: I simplfy often to make it easier to digest, but will highlight frequent mistakes.</t>
  </si>
  <si>
    <t>Also notice that this is just for the first year. Please make sure to plan at least for the first three years.</t>
  </si>
  <si>
    <t>If you find mistakes or have suggestions for improvement, please let me know: jan.brinckmann@gmail.com</t>
  </si>
  <si>
    <t xml:space="preserve">I use cell comments as additional information - just as in this cell. </t>
  </si>
  <si>
    <t>If you struggling with certain terms &amp; concepts, research them on the internet.</t>
  </si>
  <si>
    <t>Structure:</t>
  </si>
  <si>
    <t>1. I will start with the hiring plan to give us an idea of the size of operations and  HR costs.</t>
  </si>
  <si>
    <t>2. Next comes sales plan as the basis for projected revenues which is often the most tricky part.</t>
  </si>
  <si>
    <t xml:space="preserve">3. Profit &amp; loss statement (P&amp;L) or income statement. </t>
  </si>
  <si>
    <t xml:space="preserve">4. Followed by the Cash-Flow Statement. Arguable more imporant than the profit &amp; loss statement in a new venture (see comment). </t>
  </si>
  <si>
    <t>5. Subsequently, you find the balance sheet: What does the company posses and who owns it?</t>
  </si>
  <si>
    <t>6. And the sensitivity analysis. Maybe the most insightful part as it lets you experience some of the dynamics of the venture.</t>
  </si>
  <si>
    <t>7. Is an analysis of customer acquisition costs and customer lifetime value</t>
  </si>
  <si>
    <t>PLEASE NOTE THAT THIS TEMPLATE DOES NOT CONTAIN SECOND AND THIRD YEAR PROCEJTIONS WHICH SHOULD BE INCLUDED.</t>
  </si>
  <si>
    <t>ALSO, PLEASE ADD ANNUAL SUMMARY SHEETS</t>
  </si>
  <si>
    <r>
      <rPr>
        <sz val="10"/>
        <color theme="1"/>
        <rFont val="Calibri"/>
        <family val="2"/>
      </rPr>
      <t>Intended for Class-Project use only. Further distribution not permitted</t>
    </r>
    <r>
      <rPr>
        <sz val="10"/>
        <color theme="1"/>
        <rFont val="Arial"/>
        <family val="2"/>
      </rPr>
      <t>.</t>
    </r>
  </si>
  <si>
    <t>© Jan Brinckmann</t>
  </si>
  <si>
    <t>So how many people will work for our venture and what are their costs?</t>
  </si>
  <si>
    <t>Hiring Plan</t>
  </si>
  <si>
    <t>Staff required for development (Year 1 Barcelona only)</t>
  </si>
  <si>
    <t>Plan of incentives</t>
  </si>
  <si>
    <t>Month:</t>
  </si>
  <si>
    <t>Total</t>
  </si>
  <si>
    <t>Founder</t>
  </si>
  <si>
    <t>Base Salary</t>
  </si>
  <si>
    <t>Benefits</t>
  </si>
  <si>
    <t>Total Expense</t>
  </si>
  <si>
    <t># of founders</t>
  </si>
  <si>
    <t>Salary</t>
  </si>
  <si>
    <t>Founders Compensation</t>
  </si>
  <si>
    <t>Freelance Developer</t>
  </si>
  <si>
    <t>MVP Dev.</t>
  </si>
  <si>
    <t>Maintenance</t>
  </si>
  <si>
    <t># of developers</t>
  </si>
  <si>
    <t>Developers Compensation</t>
  </si>
  <si>
    <t>So how much revenue can we generate?  Here are different brief approaches to estimate sales</t>
  </si>
  <si>
    <t>Sales Plan</t>
  </si>
  <si>
    <t>Total Year 1 Revenue:</t>
  </si>
  <si>
    <t>User Subscription Revenue Stream</t>
  </si>
  <si>
    <t>User Growth</t>
  </si>
  <si>
    <t>Starting Users = 50</t>
  </si>
  <si>
    <t>Year 01 Month:</t>
  </si>
  <si>
    <t>Users</t>
  </si>
  <si>
    <t>Growth%</t>
  </si>
  <si>
    <t>Monetization Model</t>
  </si>
  <si>
    <t>Month</t>
  </si>
  <si>
    <t>Conversion Rate</t>
  </si>
  <si>
    <t>Paid Users</t>
  </si>
  <si>
    <t>Revenue</t>
  </si>
  <si>
    <t>Conversion Rates:</t>
  </si>
  <si>
    <t>January</t>
  </si>
  <si>
    <t>Start =</t>
  </si>
  <si>
    <t>February</t>
  </si>
  <si>
    <t>End =</t>
  </si>
  <si>
    <t>March</t>
  </si>
  <si>
    <t>Months =</t>
  </si>
  <si>
    <t>April</t>
  </si>
  <si>
    <t>May</t>
  </si>
  <si>
    <t>Price =</t>
  </si>
  <si>
    <t>June</t>
  </si>
  <si>
    <t>July</t>
  </si>
  <si>
    <t>August</t>
  </si>
  <si>
    <t>September</t>
  </si>
  <si>
    <t>October</t>
  </si>
  <si>
    <t>November</t>
  </si>
  <si>
    <t>December</t>
  </si>
  <si>
    <t>Courses</t>
  </si>
  <si>
    <t>Engaged Users =</t>
  </si>
  <si>
    <t>Conversion =</t>
  </si>
  <si>
    <t>Price Avg.</t>
  </si>
  <si>
    <t>Buyers</t>
  </si>
  <si>
    <t>B2B (Venues)</t>
  </si>
  <si>
    <t>Starting Venues =</t>
  </si>
  <si>
    <t>Growth per Month =</t>
  </si>
  <si>
    <t>Price per Venue/m =</t>
  </si>
  <si>
    <t xml:space="preserve"> Venues</t>
  </si>
  <si>
    <t>So will we be turning a profit?</t>
  </si>
  <si>
    <t>REVENUES</t>
  </si>
  <si>
    <t xml:space="preserve">Subscriptions </t>
  </si>
  <si>
    <t xml:space="preserve">Courses </t>
  </si>
  <si>
    <t xml:space="preserve">B2B Venue Fees </t>
  </si>
  <si>
    <t>TOTAL REVENUES</t>
  </si>
  <si>
    <t>COGS</t>
  </si>
  <si>
    <t xml:space="preserve"> </t>
  </si>
  <si>
    <t>Infrastructure (Firebase/AWS)</t>
  </si>
  <si>
    <t>Payment Processing</t>
  </si>
  <si>
    <t>TOTAL COGS</t>
  </si>
  <si>
    <t>GROSS PROFIT</t>
  </si>
  <si>
    <t>GROSS MARGIN</t>
  </si>
  <si>
    <t>FIXED OPEX</t>
  </si>
  <si>
    <t>Founder Salary</t>
  </si>
  <si>
    <t>Ammortization (MVP)</t>
  </si>
  <si>
    <t>Developer (Maintenance)</t>
  </si>
  <si>
    <t>Legal/Setup</t>
  </si>
  <si>
    <t>TOTAL FIXED OPEX</t>
  </si>
  <si>
    <t>VARIABLE OPEX</t>
  </si>
  <si>
    <t>Marketing</t>
  </si>
  <si>
    <t>TOTAL VARIABLE OPEX</t>
  </si>
  <si>
    <t>TOTAL COSTS</t>
  </si>
  <si>
    <t>NET PROFIT/LOSS</t>
  </si>
  <si>
    <t xml:space="preserve">CUMULATIVE P&amp;L </t>
  </si>
  <si>
    <t>There are two fundamental approaches to build the cash-flow statement (direct method and the indirect method)</t>
  </si>
  <si>
    <t>The indirect method is used here. The direct method is more straight forward: You start with the opening balance, list all cash that you collected in the time and the expenses you incurred. This leads you to the ending balance.</t>
  </si>
  <si>
    <t>Opening Balance</t>
  </si>
  <si>
    <t>Initial Funding (equity)</t>
  </si>
  <si>
    <t>Opening Cash Balance</t>
  </si>
  <si>
    <t>Year Closing</t>
  </si>
  <si>
    <t>Cash Inflows</t>
  </si>
  <si>
    <t>Subscription Revenue</t>
  </si>
  <si>
    <t>Course Revenue</t>
  </si>
  <si>
    <t>B2B Venue Fee Revenue</t>
  </si>
  <si>
    <t>Total Inflows</t>
  </si>
  <si>
    <t>Cash Outflows</t>
  </si>
  <si>
    <t>Founder Salary (Deferred)</t>
  </si>
  <si>
    <t>Total Outflows</t>
  </si>
  <si>
    <t>CAPEX</t>
  </si>
  <si>
    <t>MVP Capitalization</t>
  </si>
  <si>
    <t>Net Cash Flow</t>
  </si>
  <si>
    <t>Closing Balance</t>
  </si>
  <si>
    <t>*Deferred Founder Salary * to be paid to founder when profitable</t>
  </si>
  <si>
    <t>The Balance Sheet (by years)</t>
  </si>
  <si>
    <t>Note that this is an aggregation of numers you have calculated before if you have already aggregated the monthly figures to create yearly figures.</t>
  </si>
  <si>
    <t>Hence, please refernce to the respective parts.</t>
  </si>
  <si>
    <t>End of Year One</t>
  </si>
  <si>
    <t>End of Year Two</t>
  </si>
  <si>
    <t>Assets</t>
  </si>
  <si>
    <t>Current Assets</t>
  </si>
  <si>
    <t>Cash</t>
  </si>
  <si>
    <t>Total Current Assets</t>
  </si>
  <si>
    <t>Fixed Assets</t>
  </si>
  <si>
    <t>MVP Development</t>
  </si>
  <si>
    <t>Total Fixed Assets</t>
  </si>
  <si>
    <t>Accumulated Depreciation</t>
  </si>
  <si>
    <t>Total Assets</t>
  </si>
  <si>
    <t>Liabilities and Owner's Equity</t>
  </si>
  <si>
    <t>Liabilities</t>
  </si>
  <si>
    <t>Deferred Salary</t>
  </si>
  <si>
    <t>Total Liabilities</t>
  </si>
  <si>
    <t>Owner's Equity</t>
  </si>
  <si>
    <t>Common Stock</t>
  </si>
  <si>
    <t>Retained Earnings</t>
  </si>
  <si>
    <t>Total Owner's Equity</t>
  </si>
  <si>
    <t>Total Liabilities and Owner's Equity</t>
  </si>
  <si>
    <t>Often the calculations for the whole venture distract from understanding the per customer economics.</t>
  </si>
  <si>
    <t>This sheet is intended to depict some sample calculation which are often done, before developing the financials of the venture.</t>
  </si>
  <si>
    <t>These calculations can inform the development of the financials of the business plan.</t>
  </si>
  <si>
    <t>Example: Venture based on mailing list marketing campaign</t>
  </si>
  <si>
    <t>CAC (Customer Acquisition Costs):</t>
  </si>
  <si>
    <t>Y1</t>
  </si>
  <si>
    <t>Total Users Acquired Y1</t>
  </si>
  <si>
    <t>Organic (60%)</t>
  </si>
  <si>
    <t>Marketing Driven (40%)</t>
  </si>
  <si>
    <t>Total Marketing Spend</t>
  </si>
  <si>
    <t>CAC  (paid users only)</t>
  </si>
  <si>
    <t>Blended CAC (all users)</t>
  </si>
  <si>
    <t>CLV (Customer Lifetime Value)</t>
  </si>
  <si>
    <t>Average Subscription Duration (months)</t>
  </si>
  <si>
    <t>Monthly Subscription Rate (18% of users by Dec)</t>
  </si>
  <si>
    <t>Subscription revenue/user</t>
  </si>
  <si>
    <t>Courses (per total user base)</t>
  </si>
  <si>
    <t>B2B Venue Fee</t>
  </si>
  <si>
    <t>Blended LTV/user</t>
  </si>
  <si>
    <t>Subscription Contribution (blended across all users)</t>
  </si>
  <si>
    <t>Course Contribution</t>
  </si>
  <si>
    <t>Venue Fee Contribution</t>
  </si>
  <si>
    <t>Total Blended LTV</t>
  </si>
  <si>
    <t>LTV/CAC x (Blended)</t>
  </si>
  <si>
    <t>In the sensitivity analysis is most likely the most insightful part of the work. The idea to change key assumption of the plan and see how other key variables change</t>
  </si>
  <si>
    <t>KEY VARIABLES</t>
  </si>
  <si>
    <t>Conversion Rate (free ---- paid)</t>
  </si>
  <si>
    <t>User growth (total users)</t>
  </si>
  <si>
    <t>Marketing spend</t>
  </si>
  <si>
    <t>Conversion Rate (base 10-18%)</t>
  </si>
  <si>
    <t>Scenario</t>
  </si>
  <si>
    <t>Sub Revenue</t>
  </si>
  <si>
    <t>Net Profit</t>
  </si>
  <si>
    <t>Pessimistic -50%</t>
  </si>
  <si>
    <t>5-9%</t>
  </si>
  <si>
    <t>Base Case 0%</t>
  </si>
  <si>
    <t>10-18%</t>
  </si>
  <si>
    <t>Optimistic +25%</t>
  </si>
  <si>
    <t>12-22%</t>
  </si>
  <si>
    <t>Optimistic +50%</t>
  </si>
  <si>
    <t>15-27</t>
  </si>
  <si>
    <t>Total Users</t>
  </si>
  <si>
    <t>Total Revenue</t>
  </si>
  <si>
    <t>Marketing Spend</t>
  </si>
  <si>
    <t>Mkt Spend</t>
  </si>
  <si>
    <t xml:space="preserve">Net Profit </t>
  </si>
  <si>
    <t xml:space="preserve">No Marketing </t>
  </si>
  <si>
    <t>Base Case</t>
  </si>
  <si>
    <t xml:space="preserve">Double </t>
  </si>
  <si>
    <t>Triple</t>
  </si>
  <si>
    <t>Please Identify the key KPIs here and show how other indicators that drive the respective KPIs</t>
  </si>
  <si>
    <t>Top KPIs:</t>
  </si>
  <si>
    <r>
      <rPr>
        <b/>
        <sz val="11"/>
        <color theme="1"/>
        <rFont val="Calibri"/>
        <family val="2"/>
        <scheme val="minor"/>
      </rPr>
      <t>KPI_1:</t>
    </r>
    <r>
      <rPr>
        <sz val="11"/>
        <color theme="1"/>
        <rFont val="Calibri"/>
        <family val="2"/>
        <scheme val="minor"/>
      </rPr>
      <t xml:space="preserve"> Monthly Active Users (MAU)</t>
    </r>
  </si>
  <si>
    <r>
      <rPr>
        <b/>
        <sz val="11"/>
        <color theme="1"/>
        <rFont val="Calibri"/>
        <family val="2"/>
        <scheme val="minor"/>
      </rPr>
      <t>KPI_2:</t>
    </r>
    <r>
      <rPr>
        <sz val="11"/>
        <color theme="1"/>
        <rFont val="Calibri"/>
        <family val="2"/>
        <scheme val="minor"/>
      </rPr>
      <t xml:space="preserve"> Paid Conversion Rate</t>
    </r>
  </si>
  <si>
    <r>
      <rPr>
        <b/>
        <sz val="11"/>
        <color theme="1"/>
        <rFont val="Calibri"/>
        <family val="2"/>
        <scheme val="minor"/>
      </rPr>
      <t>KPI_3</t>
    </r>
    <r>
      <rPr>
        <sz val="11"/>
        <color theme="1"/>
        <rFont val="Calibri"/>
        <family val="2"/>
        <scheme val="minor"/>
      </rPr>
      <t>: Revenue per User</t>
    </r>
  </si>
  <si>
    <t>Sub-KPIs:</t>
  </si>
  <si>
    <r>
      <rPr>
        <b/>
        <sz val="11"/>
        <color theme="1"/>
        <rFont val="Calibri"/>
        <family val="2"/>
        <scheme val="minor"/>
      </rPr>
      <t>KPI_1.1:</t>
    </r>
    <r>
      <rPr>
        <sz val="11"/>
        <color theme="1"/>
        <rFont val="Calibri"/>
        <family val="2"/>
        <scheme val="minor"/>
      </rPr>
      <t xml:space="preserve"> New Users/month | Churn Rate</t>
    </r>
  </si>
  <si>
    <r>
      <rPr>
        <b/>
        <sz val="11"/>
        <color theme="1"/>
        <rFont val="Calibri"/>
        <family val="2"/>
        <scheme val="minor"/>
      </rPr>
      <t>KPI_2.1</t>
    </r>
    <r>
      <rPr>
        <sz val="11"/>
        <color theme="1"/>
        <rFont val="Calibri"/>
        <family val="2"/>
        <scheme val="minor"/>
      </rPr>
      <t xml:space="preserve"> Free to paid conversions |Paying Users Total</t>
    </r>
  </si>
  <si>
    <r>
      <rPr>
        <b/>
        <sz val="11"/>
        <color theme="1"/>
        <rFont val="Calibri"/>
        <family val="2"/>
        <scheme val="minor"/>
      </rPr>
      <t>KPI_3.1:</t>
    </r>
    <r>
      <rPr>
        <sz val="11"/>
        <color theme="1"/>
        <rFont val="Calibri"/>
        <family val="2"/>
        <scheme val="minor"/>
      </rPr>
      <t xml:space="preserve"> Subscription ARPU €7.99 | Blended ARPU €2.26</t>
    </r>
  </si>
  <si>
    <t>Evolution of KPIs:</t>
  </si>
  <si>
    <t xml:space="preserve">Month </t>
  </si>
  <si>
    <t>MAU</t>
  </si>
  <si>
    <t>Conversion %</t>
  </si>
  <si>
    <t>Paying Users</t>
  </si>
  <si>
    <t>Monthly Revenue</t>
  </si>
  <si>
    <t>ARPU</t>
  </si>
  <si>
    <t>Jan</t>
  </si>
  <si>
    <t>Mar</t>
  </si>
  <si>
    <t>Jun</t>
  </si>
  <si>
    <t>Sep</t>
  </si>
  <si>
    <t>Dec</t>
  </si>
  <si>
    <t>DEC 2027</t>
  </si>
  <si>
    <t>JAN 2028</t>
  </si>
  <si>
    <t>Share in company in percent</t>
  </si>
  <si>
    <t>Sweat Equity &amp; 15k cash contribution</t>
  </si>
  <si>
    <t>Pre-money</t>
  </si>
  <si>
    <t>Invested Money</t>
  </si>
  <si>
    <t>Total value of firm</t>
  </si>
  <si>
    <t>Post-money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</si>
</sst>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[$€-2]\ #,##0.00"/>
    <numFmt numFmtId="166" formatCode="#,##0.0"/>
    <numFmt numFmtId="167" formatCode="[$-409]mmm\-yy;@"/>
    <numFmt numFmtId="168" formatCode="_(* #,##0_);_(* \(#,##0\);_(* &quot;-&quot;??_);_(@_)"/>
    <numFmt numFmtId="169" formatCode="_-&quot;$&quot;* #,##0_-;\-&quot;$&quot;* #,##0_-;_-&quot;$&quot;* &quot;-&quot;??_-;_-@_-"/>
    <numFmt numFmtId="170" formatCode="[$EUR]\ #,##0.00"/>
    <numFmt numFmtId="171" formatCode="_([$€-2]\ * #,##0.00_);_([$€-2]\ * \(#,##0.00\);_([$€-2]\ * &quot;-&quot;??_);_(@_)"/>
    <numFmt numFmtId="172" formatCode="0.0%"/>
    <numFmt numFmtId="173" formatCode="_([$€-2]\ * #,##0.0_);_([$€-2]\ * \(#,##0.0\);_([$€-2]\ * &quot;-&quot;??_);_(@_)"/>
    <numFmt numFmtId="174" formatCode="_([$€-2]\ * #,##0_);_([$€-2]\ * \(#,##0\);_([$€-2]\ * &quot;-&quot;??_);_(@_)"/>
    <numFmt numFmtId="175" formatCode="[$€-2]\ #,##0.0"/>
    <numFmt numFmtId="176" formatCode="[$€-2]\ 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10"/>
      <name val="Arial"/>
      <family val="2"/>
    </font>
    <font>
      <b/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165" fontId="0" fillId="0" borderId="0"/>
    <xf numFmtId="9" fontId="1" fillId="0" borderId="0" applyFont="0" applyFill="0" applyBorder="0" applyAlignment="0" applyProtection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1">
    <xf numFmtId="165" fontId="0" fillId="0" borderId="0" xfId="0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8" fillId="0" borderId="0" xfId="0" applyFont="1"/>
    <xf numFmtId="165" fontId="6" fillId="4" borderId="0" xfId="0" applyFont="1" applyFill="1"/>
    <xf numFmtId="17" fontId="6" fillId="4" borderId="0" xfId="0" applyNumberFormat="1" applyFont="1" applyFill="1"/>
    <xf numFmtId="165" fontId="9" fillId="0" borderId="0" xfId="0" applyFont="1"/>
    <xf numFmtId="9" fontId="9" fillId="0" borderId="0" xfId="0" applyNumberFormat="1" applyFont="1"/>
    <xf numFmtId="165" fontId="9" fillId="0" borderId="0" xfId="0" applyFont="1" applyAlignment="1">
      <alignment horizontal="right"/>
    </xf>
    <xf numFmtId="165" fontId="9" fillId="0" borderId="0" xfId="0" applyFont="1" applyAlignment="1">
      <alignment horizontal="center"/>
    </xf>
    <xf numFmtId="10" fontId="9" fillId="0" borderId="0" xfId="1" applyNumberFormat="1" applyFont="1"/>
    <xf numFmtId="165" fontId="6" fillId="3" borderId="0" xfId="0" applyFont="1" applyFill="1"/>
    <xf numFmtId="165" fontId="7" fillId="4" borderId="0" xfId="0" applyFont="1" applyFill="1"/>
    <xf numFmtId="1" fontId="7" fillId="0" borderId="0" xfId="0" applyNumberFormat="1" applyFont="1"/>
    <xf numFmtId="1" fontId="6" fillId="0" borderId="0" xfId="0" applyNumberFormat="1" applyFont="1"/>
    <xf numFmtId="9" fontId="7" fillId="0" borderId="0" xfId="0" applyNumberFormat="1" applyFont="1"/>
    <xf numFmtId="9" fontId="6" fillId="0" borderId="0" xfId="0" applyNumberFormat="1" applyFont="1"/>
    <xf numFmtId="3" fontId="7" fillId="0" borderId="0" xfId="0" applyNumberFormat="1" applyFont="1"/>
    <xf numFmtId="165" fontId="7" fillId="3" borderId="0" xfId="0" applyFont="1" applyFill="1"/>
    <xf numFmtId="164" fontId="7" fillId="0" borderId="0" xfId="0" applyNumberFormat="1" applyFont="1"/>
    <xf numFmtId="10" fontId="7" fillId="0" borderId="0" xfId="0" applyNumberFormat="1" applyFont="1"/>
    <xf numFmtId="3" fontId="6" fillId="0" borderId="0" xfId="0" applyNumberFormat="1" applyFont="1"/>
    <xf numFmtId="10" fontId="6" fillId="0" borderId="0" xfId="0" applyNumberFormat="1" applyFont="1"/>
    <xf numFmtId="6" fontId="7" fillId="0" borderId="0" xfId="0" applyNumberFormat="1" applyFont="1"/>
    <xf numFmtId="165" fontId="10" fillId="0" borderId="0" xfId="0" applyFont="1"/>
    <xf numFmtId="165" fontId="11" fillId="0" borderId="0" xfId="0" applyFont="1"/>
    <xf numFmtId="165" fontId="10" fillId="4" borderId="0" xfId="0" applyFont="1" applyFill="1"/>
    <xf numFmtId="17" fontId="10" fillId="4" borderId="0" xfId="0" applyNumberFormat="1" applyFont="1" applyFill="1"/>
    <xf numFmtId="165" fontId="11" fillId="0" borderId="0" xfId="0" applyFont="1" applyAlignment="1">
      <alignment horizontal="right"/>
    </xf>
    <xf numFmtId="164" fontId="11" fillId="0" borderId="0" xfId="0" applyNumberFormat="1" applyFont="1" applyAlignment="1">
      <alignment horizontal="right"/>
    </xf>
    <xf numFmtId="164" fontId="11" fillId="0" borderId="0" xfId="0" applyNumberFormat="1" applyFont="1"/>
    <xf numFmtId="9" fontId="11" fillId="0" borderId="0" xfId="0" applyNumberFormat="1" applyFont="1"/>
    <xf numFmtId="165" fontId="12" fillId="0" borderId="0" xfId="0" applyFont="1"/>
    <xf numFmtId="165" fontId="13" fillId="0" borderId="0" xfId="0" applyFont="1" applyAlignment="1">
      <alignment horizontal="right"/>
    </xf>
    <xf numFmtId="165" fontId="12" fillId="0" borderId="0" xfId="0" applyFont="1" applyAlignment="1">
      <alignment horizontal="right"/>
    </xf>
    <xf numFmtId="165" fontId="4" fillId="0" borderId="0" xfId="0" applyFont="1" applyAlignment="1">
      <alignment horizontal="right"/>
    </xf>
    <xf numFmtId="165" fontId="5" fillId="0" borderId="0" xfId="0" applyFont="1" applyAlignment="1">
      <alignment horizontal="right"/>
    </xf>
    <xf numFmtId="166" fontId="7" fillId="0" borderId="0" xfId="0" applyNumberFormat="1" applyFont="1"/>
    <xf numFmtId="4" fontId="7" fillId="0" borderId="0" xfId="0" applyNumberFormat="1" applyFont="1"/>
    <xf numFmtId="3" fontId="9" fillId="0" borderId="0" xfId="0" applyNumberFormat="1" applyFont="1"/>
    <xf numFmtId="166" fontId="9" fillId="0" borderId="0" xfId="0" applyNumberFormat="1" applyFont="1"/>
    <xf numFmtId="165" fontId="0" fillId="2" borderId="0" xfId="0" applyFill="1"/>
    <xf numFmtId="3" fontId="0" fillId="0" borderId="0" xfId="0" applyNumberFormat="1"/>
    <xf numFmtId="10" fontId="0" fillId="0" borderId="0" xfId="0" applyNumberFormat="1"/>
    <xf numFmtId="165" fontId="14" fillId="0" borderId="0" xfId="0" applyFont="1"/>
    <xf numFmtId="166" fontId="0" fillId="0" borderId="0" xfId="0" applyNumberFormat="1"/>
    <xf numFmtId="1" fontId="0" fillId="0" borderId="0" xfId="0" applyNumberFormat="1"/>
    <xf numFmtId="1" fontId="14" fillId="0" borderId="0" xfId="0" applyNumberFormat="1" applyFont="1"/>
    <xf numFmtId="167" fontId="10" fillId="4" borderId="0" xfId="0" applyNumberFormat="1" applyFont="1" applyFill="1"/>
    <xf numFmtId="0" fontId="4" fillId="0" borderId="0" xfId="0" applyNumberFormat="1" applyFont="1"/>
    <xf numFmtId="0" fontId="5" fillId="0" borderId="0" xfId="0" applyNumberFormat="1" applyFont="1"/>
    <xf numFmtId="0" fontId="4" fillId="0" borderId="0" xfId="0" applyNumberFormat="1" applyFont="1" applyAlignment="1">
      <alignment horizontal="right"/>
    </xf>
    <xf numFmtId="168" fontId="5" fillId="0" borderId="0" xfId="3" applyNumberFormat="1" applyFont="1" applyBorder="1"/>
    <xf numFmtId="168" fontId="5" fillId="0" borderId="1" xfId="3" applyNumberFormat="1" applyFont="1" applyBorder="1"/>
    <xf numFmtId="168" fontId="5" fillId="0" borderId="0" xfId="0" applyNumberFormat="1" applyFont="1"/>
    <xf numFmtId="168" fontId="5" fillId="0" borderId="2" xfId="3" applyNumberFormat="1" applyFont="1" applyBorder="1"/>
    <xf numFmtId="168" fontId="5" fillId="0" borderId="0" xfId="3" applyNumberFormat="1" applyFont="1"/>
    <xf numFmtId="0" fontId="4" fillId="0" borderId="3" xfId="0" applyNumberFormat="1" applyFont="1" applyBorder="1" applyAlignment="1">
      <alignment horizontal="center"/>
    </xf>
    <xf numFmtId="165" fontId="15" fillId="0" borderId="0" xfId="0" applyFont="1"/>
    <xf numFmtId="169" fontId="0" fillId="0" borderId="0" xfId="4" applyNumberFormat="1" applyFont="1" applyBorder="1"/>
    <xf numFmtId="169" fontId="16" fillId="0" borderId="0" xfId="4" applyNumberFormat="1" applyFont="1" applyBorder="1"/>
    <xf numFmtId="9" fontId="0" fillId="0" borderId="0" xfId="0" applyNumberFormat="1"/>
    <xf numFmtId="9" fontId="16" fillId="0" borderId="0" xfId="0" applyNumberFormat="1" applyFont="1"/>
    <xf numFmtId="165" fontId="17" fillId="0" borderId="0" xfId="0" applyFont="1"/>
    <xf numFmtId="9" fontId="14" fillId="0" borderId="0" xfId="0" applyNumberFormat="1" applyFont="1"/>
    <xf numFmtId="169" fontId="14" fillId="0" borderId="0" xfId="4" applyNumberFormat="1" applyFont="1" applyBorder="1"/>
    <xf numFmtId="170" fontId="0" fillId="0" borderId="0" xfId="4" applyNumberFormat="1" applyFont="1" applyBorder="1"/>
    <xf numFmtId="170" fontId="14" fillId="0" borderId="0" xfId="4" applyNumberFormat="1" applyFont="1" applyBorder="1"/>
    <xf numFmtId="165" fontId="18" fillId="0" borderId="0" xfId="0" applyFont="1" applyAlignment="1">
      <alignment horizontal="right"/>
    </xf>
    <xf numFmtId="49" fontId="20" fillId="0" borderId="0" xfId="0" applyNumberFormat="1" applyFont="1"/>
    <xf numFmtId="2" fontId="0" fillId="0" borderId="0" xfId="0" applyNumberFormat="1"/>
    <xf numFmtId="2" fontId="8" fillId="0" borderId="0" xfId="0" applyNumberFormat="1" applyFont="1"/>
    <xf numFmtId="9" fontId="8" fillId="0" borderId="0" xfId="0" applyNumberFormat="1" applyFont="1"/>
    <xf numFmtId="4" fontId="0" fillId="0" borderId="0" xfId="0" applyNumberFormat="1"/>
    <xf numFmtId="165" fontId="21" fillId="0" borderId="0" xfId="0" applyFont="1"/>
    <xf numFmtId="165" fontId="7" fillId="0" borderId="0" xfId="0" applyFont="1" applyAlignment="1">
      <alignment horizontal="center"/>
    </xf>
    <xf numFmtId="171" fontId="9" fillId="0" borderId="0" xfId="0" applyNumberFormat="1" applyFont="1"/>
    <xf numFmtId="3" fontId="9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71" fontId="9" fillId="0" borderId="0" xfId="0" applyNumberFormat="1" applyFont="1" applyAlignment="1">
      <alignment horizontal="center"/>
    </xf>
    <xf numFmtId="171" fontId="7" fillId="0" borderId="0" xfId="0" applyNumberFormat="1" applyFont="1"/>
    <xf numFmtId="171" fontId="8" fillId="0" borderId="0" xfId="0" applyNumberFormat="1" applyFont="1"/>
    <xf numFmtId="171" fontId="6" fillId="0" borderId="0" xfId="0" applyNumberFormat="1" applyFont="1"/>
    <xf numFmtId="17" fontId="6" fillId="0" borderId="0" xfId="0" applyNumberFormat="1" applyFont="1"/>
    <xf numFmtId="2" fontId="7" fillId="0" borderId="0" xfId="0" applyNumberFormat="1" applyFont="1"/>
    <xf numFmtId="172" fontId="7" fillId="0" borderId="0" xfId="0" applyNumberFormat="1" applyFont="1"/>
    <xf numFmtId="174" fontId="7" fillId="0" borderId="0" xfId="0" applyNumberFormat="1" applyFont="1"/>
    <xf numFmtId="165" fontId="6" fillId="5" borderId="0" xfId="0" applyFont="1" applyFill="1"/>
    <xf numFmtId="165" fontId="6" fillId="6" borderId="0" xfId="0" applyFont="1" applyFill="1"/>
    <xf numFmtId="176" fontId="6" fillId="0" borderId="0" xfId="0" applyNumberFormat="1" applyFont="1"/>
    <xf numFmtId="165" fontId="7" fillId="6" borderId="0" xfId="0" applyFont="1" applyFill="1"/>
    <xf numFmtId="171" fontId="11" fillId="0" borderId="0" xfId="0" applyNumberFormat="1" applyFont="1"/>
    <xf numFmtId="173" fontId="11" fillId="0" borderId="0" xfId="0" applyNumberFormat="1" applyFont="1"/>
    <xf numFmtId="165" fontId="11" fillId="4" borderId="0" xfId="0" applyFont="1" applyFill="1"/>
    <xf numFmtId="174" fontId="11" fillId="0" borderId="0" xfId="0" applyNumberFormat="1" applyFont="1"/>
    <xf numFmtId="165" fontId="10" fillId="7" borderId="0" xfId="0" applyFont="1" applyFill="1"/>
    <xf numFmtId="171" fontId="10" fillId="0" borderId="0" xfId="0" applyNumberFormat="1" applyFont="1"/>
    <xf numFmtId="165" fontId="10" fillId="0" borderId="0" xfId="0" applyFont="1" applyAlignment="1">
      <alignment horizontal="left"/>
    </xf>
    <xf numFmtId="165" fontId="10" fillId="8" borderId="0" xfId="0" applyFont="1" applyFill="1"/>
    <xf numFmtId="165" fontId="12" fillId="0" borderId="0" xfId="0" applyFont="1" applyAlignment="1">
      <alignment horizontal="left"/>
    </xf>
    <xf numFmtId="165" fontId="10" fillId="4" borderId="0" xfId="0" applyFont="1" applyFill="1" applyAlignment="1">
      <alignment horizontal="left"/>
    </xf>
    <xf numFmtId="173" fontId="10" fillId="4" borderId="0" xfId="0" applyNumberFormat="1" applyFont="1" applyFill="1"/>
    <xf numFmtId="9" fontId="11" fillId="4" borderId="0" xfId="0" applyNumberFormat="1" applyFont="1" applyFill="1"/>
    <xf numFmtId="174" fontId="11" fillId="4" borderId="0" xfId="0" applyNumberFormat="1" applyFont="1" applyFill="1"/>
    <xf numFmtId="171" fontId="10" fillId="4" borderId="0" xfId="0" applyNumberFormat="1" applyFont="1" applyFill="1"/>
    <xf numFmtId="9" fontId="10" fillId="0" borderId="0" xfId="0" applyNumberFormat="1" applyFont="1"/>
    <xf numFmtId="171" fontId="11" fillId="4" borderId="0" xfId="0" applyNumberFormat="1" applyFont="1" applyFill="1"/>
    <xf numFmtId="165" fontId="14" fillId="4" borderId="0" xfId="0" applyFont="1" applyFill="1"/>
    <xf numFmtId="175" fontId="0" fillId="0" borderId="0" xfId="0" applyNumberFormat="1"/>
    <xf numFmtId="171" fontId="0" fillId="0" borderId="0" xfId="0" applyNumberFormat="1"/>
    <xf numFmtId="171" fontId="14" fillId="0" borderId="0" xfId="0" applyNumberFormat="1" applyFont="1"/>
    <xf numFmtId="173" fontId="0" fillId="0" borderId="0" xfId="0" applyNumberFormat="1"/>
    <xf numFmtId="173" fontId="14" fillId="0" borderId="0" xfId="0" applyNumberFormat="1" applyFont="1"/>
    <xf numFmtId="174" fontId="0" fillId="0" borderId="0" xfId="0" applyNumberFormat="1"/>
    <xf numFmtId="173" fontId="0" fillId="0" borderId="0" xfId="4" applyNumberFormat="1" applyFont="1"/>
    <xf numFmtId="165" fontId="14" fillId="0" borderId="0" xfId="0" applyFont="1" applyAlignment="1">
      <alignment wrapText="1"/>
    </xf>
    <xf numFmtId="165" fontId="23" fillId="0" borderId="0" xfId="0" applyFont="1"/>
    <xf numFmtId="0" fontId="8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1" applyFont="1" applyFill="1" applyBorder="1" applyAlignment="1">
      <alignment horizontal="center"/>
    </xf>
    <xf numFmtId="173" fontId="15" fillId="0" borderId="0" xfId="0" applyNumberFormat="1" applyFont="1"/>
    <xf numFmtId="173" fontId="15" fillId="0" borderId="0" xfId="0" applyNumberFormat="1" applyFont="1" applyAlignment="1">
      <alignment horizontal="left" indent="1"/>
    </xf>
    <xf numFmtId="165" fontId="17" fillId="4" borderId="0" xfId="0" applyFont="1" applyFill="1"/>
    <xf numFmtId="1" fontId="0" fillId="0" borderId="0" xfId="1" applyNumberFormat="1" applyFont="1" applyFill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4" applyNumberFormat="1" applyFont="1" applyFill="1" applyBorder="1" applyAlignment="1">
      <alignment horizontal="left"/>
    </xf>
    <xf numFmtId="1" fontId="0" fillId="0" borderId="0" xfId="4" applyNumberFormat="1" applyFont="1" applyBorder="1" applyAlignment="1">
      <alignment horizontal="left"/>
    </xf>
    <xf numFmtId="173" fontId="0" fillId="0" borderId="0" xfId="0" applyNumberFormat="1" applyAlignment="1">
      <alignment horizontal="left"/>
    </xf>
    <xf numFmtId="173" fontId="0" fillId="0" borderId="0" xfId="1" applyNumberFormat="1" applyFont="1" applyFill="1" applyBorder="1" applyAlignment="1">
      <alignment horizontal="left"/>
    </xf>
    <xf numFmtId="173" fontId="0" fillId="0" borderId="0" xfId="4" applyNumberFormat="1" applyFont="1" applyFill="1" applyBorder="1" applyAlignment="1">
      <alignment horizontal="left"/>
    </xf>
    <xf numFmtId="173" fontId="15" fillId="0" borderId="0" xfId="0" applyNumberFormat="1" applyFont="1" applyAlignment="1">
      <alignment horizontal="left"/>
    </xf>
    <xf numFmtId="173" fontId="0" fillId="0" borderId="0" xfId="4" applyNumberFormat="1" applyFont="1" applyBorder="1" applyAlignment="1">
      <alignment horizontal="left"/>
    </xf>
    <xf numFmtId="10" fontId="14" fillId="4" borderId="0" xfId="0" applyNumberFormat="1" applyFont="1" applyFill="1" applyAlignment="1">
      <alignment horizontal="left"/>
    </xf>
    <xf numFmtId="173" fontId="9" fillId="0" borderId="0" xfId="4" applyNumberFormat="1" applyFont="1" applyFill="1" applyBorder="1"/>
    <xf numFmtId="173" fontId="0" fillId="0" borderId="0" xfId="4" applyNumberFormat="1" applyFont="1" applyBorder="1"/>
    <xf numFmtId="9" fontId="14" fillId="4" borderId="0" xfId="0" applyNumberFormat="1" applyFont="1" applyFill="1"/>
    <xf numFmtId="170" fontId="14" fillId="4" borderId="0" xfId="4" applyNumberFormat="1" applyFont="1" applyFill="1" applyBorder="1"/>
    <xf numFmtId="169" fontId="14" fillId="4" borderId="0" xfId="4" applyNumberFormat="1" applyFont="1" applyFill="1" applyBorder="1"/>
    <xf numFmtId="0" fontId="8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</cellXfs>
  <cellStyles count="5">
    <cellStyle name="Comma" xfId="3" builtinId="3"/>
    <cellStyle name="Currency" xfId="4" builtinId="4"/>
    <cellStyle name="Normal" xfId="0" builtinId="0"/>
    <cellStyle name="Normal 2" xfId="2" xr:uid="{00000000-0005-0000-0000-000003000000}"/>
    <cellStyle name="Percent" xfId="1" builtinId="5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For%20Becky/Business%20Plan%20templates/SCORE%20Total%20Financial%20Projections%20Template%20May%202010%20v%201.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1. Required Start-Up Funds"/>
      <sheetName val="2. Salaries and Wages"/>
      <sheetName val="3. Fixed Operating Expenses"/>
      <sheetName val="4. Projected Sales Forecast"/>
      <sheetName val="5. Projected Sales Forecast (2)"/>
      <sheetName val="6. Cash Receipts-Disbursements"/>
      <sheetName val="7. Beginning Balance Sheet"/>
      <sheetName val="8. Income Statement"/>
      <sheetName val="9. Cash Flow Statement"/>
      <sheetName val="10. Balance Sheet"/>
      <sheetName val="11. Year End Summary"/>
      <sheetName val="12. Income Statement (2)"/>
      <sheetName val="13. Cash Flow Statement (2)"/>
      <sheetName val="14. Balance Sheet (2)"/>
      <sheetName val="15. Income Statement (3)"/>
      <sheetName val="16. Cash Flow Statement (3)"/>
      <sheetName val="17. Balance Sheet (3)"/>
      <sheetName val="18. Financial Ratios"/>
      <sheetName val="19. Breakeven Analysis"/>
      <sheetName val="20. Amoritization Schedule"/>
      <sheetName val="21. Financial Diagnostic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>
        <row r="35">
          <cell r="F35">
            <v>0</v>
          </cell>
        </row>
      </sheetData>
      <sheetData sheetId="8" refreshError="1"/>
      <sheetData sheetId="9" refreshError="1"/>
      <sheetData sheetId="10">
        <row r="13">
          <cell r="I13">
            <v>0</v>
          </cell>
        </row>
        <row r="42">
          <cell r="I42">
            <v>0</v>
          </cell>
        </row>
      </sheetData>
      <sheetData sheetId="11" refreshError="1"/>
      <sheetData sheetId="12">
        <row r="53">
          <cell r="Q53">
            <v>0</v>
          </cell>
        </row>
      </sheetData>
      <sheetData sheetId="13">
        <row r="12">
          <cell r="Q12">
            <v>0</v>
          </cell>
        </row>
        <row r="35">
          <cell r="P35">
            <v>0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6">
          <cell r="R16">
            <v>0</v>
          </cell>
        </row>
        <row r="36">
          <cell r="R36">
            <v>0</v>
          </cell>
        </row>
        <row r="56">
          <cell r="R56">
            <v>0</v>
          </cell>
        </row>
        <row r="76">
          <cell r="R76">
            <v>0</v>
          </cell>
        </row>
        <row r="96">
          <cell r="R96">
            <v>0</v>
          </cell>
        </row>
      </sheetData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zoomScaleNormal="100" workbookViewId="0">
      <selection activeCell="A26" sqref="A26"/>
    </sheetView>
  </sheetViews>
  <sheetFormatPr baseColWidth="10" defaultColWidth="8.83203125" defaultRowHeight="13" x14ac:dyDescent="0.15"/>
  <cols>
    <col min="1" max="16384" width="8.83203125" style="3"/>
  </cols>
  <sheetData>
    <row r="1" spans="1:1" s="7" customFormat="1" x14ac:dyDescent="0.15">
      <c r="A1" s="4" t="s">
        <v>0</v>
      </c>
    </row>
    <row r="2" spans="1:1" s="7" customFormat="1" x14ac:dyDescent="0.15">
      <c r="A2" s="7" t="s">
        <v>1</v>
      </c>
    </row>
    <row r="3" spans="1:1" s="7" customFormat="1" x14ac:dyDescent="0.15">
      <c r="A3" s="7" t="s">
        <v>2</v>
      </c>
    </row>
    <row r="4" spans="1:1" s="7" customFormat="1" x14ac:dyDescent="0.15">
      <c r="A4" s="7" t="s">
        <v>3</v>
      </c>
    </row>
    <row r="5" spans="1:1" s="7" customFormat="1" x14ac:dyDescent="0.15">
      <c r="A5" s="7" t="s">
        <v>4</v>
      </c>
    </row>
    <row r="6" spans="1:1" s="7" customFormat="1" x14ac:dyDescent="0.15">
      <c r="A6" s="7" t="s">
        <v>5</v>
      </c>
    </row>
    <row r="7" spans="1:1" s="7" customFormat="1" x14ac:dyDescent="0.15">
      <c r="A7" s="7" t="s">
        <v>6</v>
      </c>
    </row>
    <row r="8" spans="1:1" s="7" customFormat="1" x14ac:dyDescent="0.15"/>
    <row r="9" spans="1:1" s="7" customFormat="1" x14ac:dyDescent="0.15"/>
    <row r="10" spans="1:1" s="7" customFormat="1" x14ac:dyDescent="0.15">
      <c r="A10" s="7" t="s">
        <v>7</v>
      </c>
    </row>
    <row r="11" spans="1:1" s="7" customFormat="1" x14ac:dyDescent="0.15">
      <c r="A11" s="7" t="s">
        <v>8</v>
      </c>
    </row>
    <row r="12" spans="1:1" s="7" customFormat="1" x14ac:dyDescent="0.15"/>
    <row r="13" spans="1:1" s="7" customFormat="1" x14ac:dyDescent="0.15"/>
    <row r="14" spans="1:1" s="7" customFormat="1" x14ac:dyDescent="0.15">
      <c r="A14" s="4" t="s">
        <v>9</v>
      </c>
    </row>
    <row r="15" spans="1:1" s="7" customFormat="1" x14ac:dyDescent="0.15">
      <c r="A15" s="7" t="s">
        <v>10</v>
      </c>
    </row>
    <row r="16" spans="1:1" s="7" customFormat="1" x14ac:dyDescent="0.15">
      <c r="A16" s="7" t="s">
        <v>11</v>
      </c>
    </row>
    <row r="17" spans="1:1" s="7" customFormat="1" x14ac:dyDescent="0.15">
      <c r="A17" s="7" t="s">
        <v>12</v>
      </c>
    </row>
    <row r="18" spans="1:1" s="7" customFormat="1" x14ac:dyDescent="0.15">
      <c r="A18" s="7" t="s">
        <v>13</v>
      </c>
    </row>
    <row r="19" spans="1:1" s="7" customFormat="1" x14ac:dyDescent="0.15">
      <c r="A19" s="7" t="s">
        <v>14</v>
      </c>
    </row>
    <row r="20" spans="1:1" s="7" customFormat="1" x14ac:dyDescent="0.15">
      <c r="A20" s="7" t="s">
        <v>15</v>
      </c>
    </row>
    <row r="21" spans="1:1" s="7" customFormat="1" x14ac:dyDescent="0.15">
      <c r="A21" s="7" t="s">
        <v>16</v>
      </c>
    </row>
    <row r="23" spans="1:1" x14ac:dyDescent="0.15">
      <c r="A23" s="2" t="s">
        <v>17</v>
      </c>
    </row>
    <row r="24" spans="1:1" x14ac:dyDescent="0.15">
      <c r="A24" s="2" t="s">
        <v>18</v>
      </c>
    </row>
    <row r="25" spans="1:1" ht="14" x14ac:dyDescent="0.2">
      <c r="A25" s="3" t="s">
        <v>19</v>
      </c>
    </row>
    <row r="26" spans="1:1" x14ac:dyDescent="0.15">
      <c r="A26" s="3" t="s">
        <v>20</v>
      </c>
    </row>
  </sheetData>
  <pageMargins left="0.7" right="0.7" top="0.75" bottom="0.75" header="0.3" footer="0.3"/>
  <pageSetup orientation="portrait" horizontalDpi="4294967294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1"/>
  <sheetViews>
    <sheetView topLeftCell="C7" zoomScale="112" zoomScaleNormal="109" workbookViewId="0">
      <selection activeCell="J28" sqref="J28"/>
    </sheetView>
  </sheetViews>
  <sheetFormatPr baseColWidth="10" defaultColWidth="8.83203125" defaultRowHeight="13" x14ac:dyDescent="0.15"/>
  <cols>
    <col min="1" max="1" width="26.1640625" style="3" customWidth="1"/>
    <col min="2" max="2" width="12.5" style="3" customWidth="1"/>
    <col min="3" max="6" width="12.33203125" style="3" customWidth="1"/>
    <col min="7" max="7" width="31.33203125" style="3" customWidth="1"/>
    <col min="8" max="8" width="12.33203125" style="3" customWidth="1"/>
    <col min="9" max="9" width="10.5" style="3" customWidth="1"/>
    <col min="10" max="10" width="10.6640625" style="3" customWidth="1"/>
    <col min="11" max="11" width="10.33203125" style="3" customWidth="1"/>
    <col min="12" max="12" width="11.83203125" style="3" customWidth="1"/>
    <col min="13" max="14" width="10.5" style="3" customWidth="1"/>
    <col min="15" max="15" width="10.83203125" style="3" customWidth="1"/>
    <col min="16" max="16" width="12" style="3" customWidth="1"/>
    <col min="17" max="17" width="11" style="3" bestFit="1" customWidth="1"/>
    <col min="18" max="18" width="10.5" style="3" customWidth="1"/>
    <col min="19" max="19" width="11.33203125" style="3" customWidth="1"/>
    <col min="20" max="20" width="12" style="3" bestFit="1" customWidth="1"/>
    <col min="21" max="16384" width="8.83203125" style="3"/>
  </cols>
  <sheetData>
    <row r="1" spans="1:20" x14ac:dyDescent="0.15">
      <c r="A1" s="2" t="s">
        <v>21</v>
      </c>
    </row>
    <row r="2" spans="1:20" x14ac:dyDescent="0.15">
      <c r="A2" s="2"/>
    </row>
    <row r="3" spans="1:20" x14ac:dyDescent="0.15">
      <c r="A3" s="88" t="s">
        <v>22</v>
      </c>
    </row>
    <row r="4" spans="1:20" x14ac:dyDescent="0.15">
      <c r="A4" s="3" t="s">
        <v>23</v>
      </c>
    </row>
    <row r="5" spans="1:20" x14ac:dyDescent="0.15">
      <c r="A5" s="2"/>
    </row>
    <row r="6" spans="1:20" x14ac:dyDescent="0.15">
      <c r="A6" s="2" t="s">
        <v>24</v>
      </c>
    </row>
    <row r="7" spans="1:20" x14ac:dyDescent="0.15">
      <c r="A7" s="2"/>
    </row>
    <row r="9" spans="1:20" x14ac:dyDescent="0.15">
      <c r="A9" s="4"/>
      <c r="B9" s="4"/>
      <c r="D9" s="4"/>
      <c r="F9" s="4"/>
      <c r="G9" s="5" t="s">
        <v>25</v>
      </c>
      <c r="H9" s="6">
        <v>46388</v>
      </c>
      <c r="I9" s="6">
        <v>46419</v>
      </c>
      <c r="J9" s="6">
        <v>46447</v>
      </c>
      <c r="K9" s="6">
        <v>46478</v>
      </c>
      <c r="L9" s="6">
        <v>46508</v>
      </c>
      <c r="M9" s="6">
        <v>46539</v>
      </c>
      <c r="N9" s="6">
        <v>46569</v>
      </c>
      <c r="O9" s="6">
        <v>46600</v>
      </c>
      <c r="P9" s="6">
        <v>46631</v>
      </c>
      <c r="Q9" s="6">
        <v>46661</v>
      </c>
      <c r="R9" s="6">
        <v>46692</v>
      </c>
      <c r="S9" s="6">
        <v>46722</v>
      </c>
      <c r="T9" s="2" t="s">
        <v>26</v>
      </c>
    </row>
    <row r="10" spans="1:20" s="4" customFormat="1" x14ac:dyDescent="0.15">
      <c r="A10" s="4" t="s">
        <v>27</v>
      </c>
      <c r="B10" s="2" t="s">
        <v>28</v>
      </c>
      <c r="C10" s="2" t="s">
        <v>29</v>
      </c>
      <c r="D10" s="2" t="s">
        <v>30</v>
      </c>
      <c r="G10" s="7" t="s">
        <v>31</v>
      </c>
      <c r="H10" s="78">
        <v>1</v>
      </c>
      <c r="I10" s="78">
        <v>1</v>
      </c>
      <c r="J10" s="78">
        <v>1</v>
      </c>
      <c r="K10" s="78">
        <v>1</v>
      </c>
      <c r="L10" s="78">
        <v>1</v>
      </c>
      <c r="M10" s="78">
        <v>1</v>
      </c>
      <c r="N10" s="78">
        <v>1</v>
      </c>
      <c r="O10" s="78">
        <v>1</v>
      </c>
      <c r="P10" s="78">
        <v>1</v>
      </c>
      <c r="Q10" s="78">
        <v>1</v>
      </c>
      <c r="R10" s="78">
        <v>1</v>
      </c>
      <c r="S10" s="78">
        <v>1</v>
      </c>
    </row>
    <row r="11" spans="1:20" s="4" customFormat="1" x14ac:dyDescent="0.15">
      <c r="A11" s="7" t="s">
        <v>32</v>
      </c>
      <c r="B11" s="7">
        <v>1200</v>
      </c>
      <c r="C11" s="7">
        <f>B11*0.1</f>
        <v>120</v>
      </c>
      <c r="D11" s="7">
        <f>B11+C11</f>
        <v>1320</v>
      </c>
      <c r="G11" s="7" t="s">
        <v>33</v>
      </c>
      <c r="H11" s="76">
        <f t="shared" ref="H11:S11" si="0">H10*$D$11</f>
        <v>1320</v>
      </c>
      <c r="I11" s="76">
        <f t="shared" si="0"/>
        <v>1320</v>
      </c>
      <c r="J11" s="76">
        <f t="shared" si="0"/>
        <v>1320</v>
      </c>
      <c r="K11" s="76">
        <f t="shared" si="0"/>
        <v>1320</v>
      </c>
      <c r="L11" s="76">
        <f t="shared" si="0"/>
        <v>1320</v>
      </c>
      <c r="M11" s="76">
        <f t="shared" si="0"/>
        <v>1320</v>
      </c>
      <c r="N11" s="76">
        <f t="shared" si="0"/>
        <v>1320</v>
      </c>
      <c r="O11" s="76">
        <f t="shared" si="0"/>
        <v>1320</v>
      </c>
      <c r="P11" s="76">
        <f t="shared" si="0"/>
        <v>1320</v>
      </c>
      <c r="Q11" s="76">
        <f t="shared" si="0"/>
        <v>1320</v>
      </c>
      <c r="R11" s="76">
        <f t="shared" si="0"/>
        <v>1320</v>
      </c>
      <c r="S11" s="76">
        <f t="shared" si="0"/>
        <v>1320</v>
      </c>
      <c r="T11" s="4">
        <f>SUM(H11:S11)</f>
        <v>15840</v>
      </c>
    </row>
    <row r="12" spans="1:20" x14ac:dyDescent="0.15">
      <c r="A12" s="2" t="s">
        <v>34</v>
      </c>
      <c r="B12" s="2" t="s">
        <v>35</v>
      </c>
      <c r="C12" s="2" t="s">
        <v>36</v>
      </c>
      <c r="D12" s="2" t="s">
        <v>30</v>
      </c>
      <c r="G12" s="7" t="s">
        <v>37</v>
      </c>
      <c r="H12" s="78">
        <v>1</v>
      </c>
      <c r="I12" s="78">
        <v>1</v>
      </c>
      <c r="J12" s="78">
        <v>1</v>
      </c>
      <c r="K12" s="78">
        <v>1</v>
      </c>
      <c r="L12" s="78">
        <v>1</v>
      </c>
      <c r="M12" s="78">
        <v>1</v>
      </c>
      <c r="N12" s="78">
        <v>1</v>
      </c>
      <c r="O12" s="78">
        <v>1</v>
      </c>
      <c r="P12" s="78">
        <v>1</v>
      </c>
      <c r="Q12" s="78">
        <v>1</v>
      </c>
      <c r="R12" s="78">
        <v>1</v>
      </c>
      <c r="S12" s="78">
        <v>1</v>
      </c>
      <c r="T12" s="2"/>
    </row>
    <row r="13" spans="1:20" s="7" customFormat="1" x14ac:dyDescent="0.15">
      <c r="A13" s="7" t="s">
        <v>32</v>
      </c>
      <c r="B13" s="7">
        <f>12000*1</f>
        <v>12000</v>
      </c>
      <c r="C13" s="7">
        <f>300*12</f>
        <v>3600</v>
      </c>
      <c r="D13" s="7">
        <f>B13+C13</f>
        <v>15600</v>
      </c>
      <c r="G13" s="3" t="s">
        <v>38</v>
      </c>
      <c r="H13" s="76">
        <f>(B13/2*H12)</f>
        <v>6000</v>
      </c>
      <c r="I13" s="76">
        <f>(B13/2*I12)</f>
        <v>6000</v>
      </c>
      <c r="J13" s="76">
        <f t="shared" ref="J13:S13" si="1">(J12*$C$13)/12</f>
        <v>300</v>
      </c>
      <c r="K13" s="76">
        <f t="shared" si="1"/>
        <v>300</v>
      </c>
      <c r="L13" s="76">
        <f t="shared" si="1"/>
        <v>300</v>
      </c>
      <c r="M13" s="76">
        <f t="shared" si="1"/>
        <v>300</v>
      </c>
      <c r="N13" s="76">
        <f t="shared" si="1"/>
        <v>300</v>
      </c>
      <c r="O13" s="76">
        <f t="shared" si="1"/>
        <v>300</v>
      </c>
      <c r="P13" s="76">
        <f t="shared" si="1"/>
        <v>300</v>
      </c>
      <c r="Q13" s="76">
        <f t="shared" si="1"/>
        <v>300</v>
      </c>
      <c r="R13" s="76">
        <f t="shared" si="1"/>
        <v>300</v>
      </c>
      <c r="S13" s="76">
        <f t="shared" si="1"/>
        <v>300</v>
      </c>
      <c r="T13" s="4">
        <f>SUM(H13:S13)</f>
        <v>15000</v>
      </c>
    </row>
    <row r="14" spans="1:20" s="7" customFormat="1" x14ac:dyDescent="0.15">
      <c r="A14" s="4"/>
      <c r="B14" s="75"/>
      <c r="C14" s="75"/>
      <c r="D14" s="75"/>
      <c r="G14" s="3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4"/>
    </row>
    <row r="15" spans="1:20" x14ac:dyDescent="0.15">
      <c r="A15" s="7"/>
      <c r="G15" s="7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2"/>
    </row>
    <row r="16" spans="1:20" x14ac:dyDescent="0.15">
      <c r="A16" s="7"/>
      <c r="B16" s="7"/>
      <c r="C16" s="7"/>
      <c r="D16" s="7"/>
      <c r="G16" s="4"/>
      <c r="H16" s="78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2"/>
    </row>
    <row r="17" spans="1:20" s="81" customFormat="1" x14ac:dyDescent="0.15">
      <c r="A17" s="77"/>
      <c r="B17" s="77"/>
      <c r="C17" s="77"/>
      <c r="D17" s="77"/>
      <c r="F17" s="82"/>
      <c r="G17" s="82" t="s">
        <v>26</v>
      </c>
      <c r="H17" s="80">
        <f>$H$11+$H$13+$H$15</f>
        <v>7320</v>
      </c>
      <c r="I17" s="80">
        <f>$I$11+$I$13+$I$15</f>
        <v>7320</v>
      </c>
      <c r="J17" s="80">
        <f>$J$11+$J$13+$J$15</f>
        <v>1620</v>
      </c>
      <c r="K17" s="80">
        <f>$K$11+$K$13+$K$15</f>
        <v>1620</v>
      </c>
      <c r="L17" s="80">
        <f>$L$11+$L$13+$L$15</f>
        <v>1620</v>
      </c>
      <c r="M17" s="80">
        <f>$M$11+$M$13+$M$15</f>
        <v>1620</v>
      </c>
      <c r="N17" s="80">
        <f>$N$11+$N$13+$N$15</f>
        <v>1620</v>
      </c>
      <c r="O17" s="80">
        <f>$O$11+$O$13+$O$15</f>
        <v>1620</v>
      </c>
      <c r="P17" s="80">
        <f>$P$11+$P$13+$P$15</f>
        <v>1620</v>
      </c>
      <c r="Q17" s="80">
        <f>$Q$11+$Q$13+$Q$15</f>
        <v>1620</v>
      </c>
      <c r="R17" s="80">
        <f>$R$11+$R$13+$R$15</f>
        <v>1620</v>
      </c>
      <c r="S17" s="80">
        <f>$S$11+$S$13+$S$15</f>
        <v>1620</v>
      </c>
      <c r="T17" s="83">
        <f>T11+T13+T15</f>
        <v>30840</v>
      </c>
    </row>
    <row r="18" spans="1:20" x14ac:dyDescent="0.15">
      <c r="A18" s="7"/>
      <c r="B18" s="7"/>
      <c r="C18" s="7"/>
      <c r="D18" s="7"/>
      <c r="E18" s="7"/>
      <c r="F18" s="7"/>
      <c r="G18" s="7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</row>
    <row r="19" spans="1:20" x14ac:dyDescent="0.15">
      <c r="A19" s="7"/>
      <c r="B19" s="7"/>
      <c r="C19" s="7"/>
      <c r="D19" s="7"/>
      <c r="E19" s="7"/>
      <c r="F19" s="7"/>
      <c r="G19" s="7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</row>
    <row r="20" spans="1:20" x14ac:dyDescent="0.15">
      <c r="A20" s="7"/>
      <c r="B20" s="7"/>
      <c r="C20" s="7"/>
      <c r="D20" s="7"/>
      <c r="E20" s="7"/>
      <c r="F20" s="7"/>
      <c r="G20" s="7"/>
    </row>
    <row r="21" spans="1:20" x14ac:dyDescent="0.15">
      <c r="E21" s="7"/>
      <c r="F21" s="7"/>
      <c r="G21" s="7"/>
    </row>
    <row r="22" spans="1:20" x14ac:dyDescent="0.15">
      <c r="A22" s="7"/>
      <c r="B22" s="7"/>
      <c r="C22" s="7"/>
      <c r="D22" s="7"/>
      <c r="E22" s="7"/>
      <c r="F22" s="7"/>
      <c r="G22" s="7"/>
    </row>
    <row r="23" spans="1:20" x14ac:dyDescent="0.15">
      <c r="A23" s="7"/>
      <c r="B23" s="7"/>
      <c r="C23" s="7"/>
      <c r="D23" s="7"/>
      <c r="E23" s="7"/>
      <c r="F23" s="7"/>
      <c r="G23" s="7"/>
    </row>
    <row r="24" spans="1:20" x14ac:dyDescent="0.15">
      <c r="A24" s="7"/>
      <c r="B24" s="7"/>
      <c r="C24" s="7"/>
      <c r="D24" s="7"/>
      <c r="E24" s="7"/>
      <c r="F24" s="7"/>
      <c r="G24" s="7"/>
    </row>
    <row r="25" spans="1:20" s="7" customFormat="1" x14ac:dyDescent="0.15"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20" s="7" customFormat="1" x14ac:dyDescent="0.15"/>
    <row r="27" spans="1:20" x14ac:dyDescent="0.15">
      <c r="A27" s="4"/>
      <c r="B27" s="2"/>
      <c r="C27" s="2"/>
      <c r="D27" s="2"/>
      <c r="E27" s="2"/>
      <c r="F27" s="4"/>
      <c r="G27" s="4"/>
    </row>
    <row r="28" spans="1:20" x14ac:dyDescent="0.15">
      <c r="B28" s="7"/>
      <c r="C28" s="7"/>
      <c r="D28" s="7"/>
      <c r="E28" s="7"/>
      <c r="F28" s="7"/>
      <c r="G28" s="7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</row>
    <row r="29" spans="1:20" x14ac:dyDescent="0.15">
      <c r="A29" s="7"/>
      <c r="B29" s="7"/>
      <c r="C29" s="7"/>
      <c r="D29" s="7"/>
      <c r="E29" s="7"/>
      <c r="F29" s="7"/>
      <c r="G29" s="7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</row>
    <row r="30" spans="1:20" x14ac:dyDescent="0.15">
      <c r="A30" s="7"/>
      <c r="B30" s="7"/>
      <c r="C30" s="7"/>
      <c r="D30" s="7"/>
      <c r="E30" s="7"/>
      <c r="F30" s="7"/>
      <c r="G30" s="7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</row>
    <row r="31" spans="1:20" x14ac:dyDescent="0.15">
      <c r="A31" s="7"/>
      <c r="B31" s="7"/>
      <c r="C31" s="7"/>
      <c r="D31" s="7"/>
      <c r="E31" s="7"/>
      <c r="F31" s="7"/>
      <c r="G31" s="4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</row>
    <row r="32" spans="1:20" s="7" customFormat="1" x14ac:dyDescent="0.15"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</row>
    <row r="33" spans="1:19" x14ac:dyDescent="0.15">
      <c r="A33" s="7"/>
      <c r="B33" s="7"/>
      <c r="C33" s="7"/>
      <c r="D33" s="7"/>
      <c r="E33" s="7"/>
      <c r="F33" s="7"/>
      <c r="G33" s="7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</row>
    <row r="34" spans="1:19" x14ac:dyDescent="0.15">
      <c r="A34" s="7"/>
      <c r="B34" s="8"/>
      <c r="C34" s="7"/>
      <c r="D34" s="7"/>
      <c r="E34" s="7"/>
      <c r="F34" s="7"/>
      <c r="G34" s="7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</row>
    <row r="35" spans="1:19" x14ac:dyDescent="0.15">
      <c r="A35" s="7"/>
      <c r="B35" s="7"/>
      <c r="C35" s="7"/>
      <c r="D35" s="7"/>
      <c r="E35" s="7"/>
      <c r="F35" s="7"/>
      <c r="G35" s="7"/>
    </row>
    <row r="36" spans="1:19" x14ac:dyDescent="0.1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x14ac:dyDescent="0.1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x14ac:dyDescent="0.15">
      <c r="A38" s="4"/>
      <c r="B38" s="9"/>
      <c r="G38" s="7"/>
    </row>
    <row r="39" spans="1:19" x14ac:dyDescent="0.15">
      <c r="A39" s="4"/>
      <c r="B39" s="9"/>
      <c r="C39" s="9"/>
      <c r="D39" s="9"/>
      <c r="G39" s="7"/>
    </row>
    <row r="40" spans="1:19" s="7" customFormat="1" x14ac:dyDescent="0.15">
      <c r="A40" s="4"/>
      <c r="B40" s="2"/>
      <c r="C40" s="2"/>
      <c r="D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15">
      <c r="A41" s="7"/>
      <c r="B41" s="7"/>
      <c r="C41" s="7"/>
      <c r="D41" s="7"/>
    </row>
    <row r="42" spans="1:19" x14ac:dyDescent="0.15">
      <c r="A42" s="7"/>
      <c r="B42" s="7"/>
      <c r="C42" s="7"/>
      <c r="D42" s="7"/>
      <c r="G42" s="4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x14ac:dyDescent="0.15">
      <c r="A43" s="7"/>
      <c r="B43" s="7"/>
      <c r="C43" s="7"/>
      <c r="D43" s="7"/>
      <c r="G43" s="7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</row>
    <row r="44" spans="1:19" x14ac:dyDescent="0.15">
      <c r="A44" s="4"/>
      <c r="B44" s="9"/>
      <c r="G44" s="7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</row>
    <row r="45" spans="1:19" x14ac:dyDescent="0.15">
      <c r="A45" s="4"/>
      <c r="B45" s="9"/>
      <c r="E45" s="4"/>
      <c r="F45" s="4"/>
      <c r="G45" s="7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</row>
    <row r="46" spans="1:19" x14ac:dyDescent="0.15">
      <c r="A46" s="4"/>
      <c r="B46" s="4"/>
      <c r="C46" s="4"/>
      <c r="D46" s="4"/>
      <c r="E46" s="7"/>
      <c r="F46" s="7"/>
      <c r="G46" s="7"/>
    </row>
    <row r="47" spans="1:19" x14ac:dyDescent="0.15">
      <c r="B47" s="7"/>
      <c r="C47" s="7"/>
      <c r="D47" s="7"/>
      <c r="E47" s="7"/>
      <c r="F47" s="7"/>
      <c r="G47" s="7"/>
    </row>
    <row r="48" spans="1:19" x14ac:dyDescent="0.15">
      <c r="A48" s="4"/>
      <c r="C48" s="7"/>
      <c r="D48" s="7"/>
      <c r="E48" s="4"/>
      <c r="F48" s="4"/>
      <c r="G48" s="7"/>
    </row>
    <row r="49" spans="1:19" x14ac:dyDescent="0.15">
      <c r="A49" s="4"/>
      <c r="B49" s="4"/>
      <c r="C49" s="4"/>
      <c r="D49" s="4"/>
      <c r="E49" s="4"/>
      <c r="F49" s="4"/>
      <c r="G49" s="7"/>
    </row>
    <row r="50" spans="1:19" x14ac:dyDescent="0.15">
      <c r="A50" s="4"/>
      <c r="B50" s="4"/>
      <c r="C50" s="4"/>
      <c r="D50" s="4"/>
      <c r="E50" s="4"/>
      <c r="F50" s="4"/>
      <c r="G50" s="7"/>
    </row>
    <row r="51" spans="1:19" x14ac:dyDescent="0.15">
      <c r="A51" s="4"/>
      <c r="B51" s="4"/>
      <c r="C51" s="4"/>
      <c r="D51" s="4"/>
      <c r="E51" s="4"/>
      <c r="F51" s="4"/>
      <c r="G51" s="7"/>
    </row>
    <row r="52" spans="1:19" x14ac:dyDescent="0.15">
      <c r="A52" s="4"/>
      <c r="B52" s="4"/>
      <c r="C52" s="4"/>
      <c r="D52" s="4"/>
      <c r="E52" s="4"/>
      <c r="F52" s="4"/>
      <c r="G52" s="7"/>
      <c r="H52" s="4"/>
      <c r="I52" s="7"/>
      <c r="J52" s="10"/>
      <c r="K52" s="7"/>
      <c r="L52" s="7"/>
      <c r="M52" s="11"/>
      <c r="N52" s="7"/>
      <c r="O52" s="7"/>
      <c r="P52" s="7"/>
    </row>
    <row r="53" spans="1:19" x14ac:dyDescent="0.15">
      <c r="A53" s="4"/>
      <c r="B53" s="4"/>
      <c r="C53" s="4"/>
      <c r="D53" s="4"/>
      <c r="E53" s="4"/>
      <c r="F53" s="4"/>
      <c r="G53" s="4"/>
      <c r="H53" s="4"/>
      <c r="I53" s="7"/>
      <c r="J53" s="10"/>
      <c r="K53" s="7"/>
      <c r="L53" s="7"/>
    </row>
    <row r="54" spans="1:19" x14ac:dyDescent="0.15">
      <c r="A54" s="4"/>
      <c r="B54" s="4"/>
      <c r="C54" s="4"/>
      <c r="D54" s="4"/>
      <c r="E54" s="4"/>
      <c r="F54" s="4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x14ac:dyDescent="0.15">
      <c r="A55" s="4"/>
      <c r="B55" s="4"/>
      <c r="C55" s="4"/>
      <c r="D55" s="4"/>
      <c r="E55" s="4"/>
      <c r="F55" s="4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x14ac:dyDescent="0.15">
      <c r="A56" s="4"/>
      <c r="B56" s="4"/>
      <c r="C56" s="4"/>
      <c r="D56" s="4"/>
      <c r="E56" s="4"/>
      <c r="F56" s="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x14ac:dyDescent="0.15">
      <c r="A57" s="4"/>
      <c r="B57" s="4"/>
      <c r="C57" s="4"/>
      <c r="D57" s="4"/>
      <c r="E57" s="4"/>
      <c r="F57" s="4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x14ac:dyDescent="0.15">
      <c r="A58" s="4"/>
      <c r="B58" s="4"/>
      <c r="C58" s="4"/>
      <c r="D58" s="4"/>
      <c r="E58" s="4"/>
      <c r="F58" s="4"/>
      <c r="G58" s="7"/>
      <c r="H58" s="4"/>
      <c r="I58" s="7"/>
      <c r="J58" s="10"/>
      <c r="K58" s="7"/>
      <c r="L58" s="7"/>
    </row>
    <row r="59" spans="1:19" x14ac:dyDescent="0.1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x14ac:dyDescent="0.1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 x14ac:dyDescent="0.1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x14ac:dyDescent="0.15">
      <c r="A62" s="4"/>
      <c r="B62" s="4"/>
      <c r="C62" s="4"/>
      <c r="D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x14ac:dyDescent="0.15"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x14ac:dyDescent="0.15"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7:19" x14ac:dyDescent="0.15"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7:19" x14ac:dyDescent="0.15">
      <c r="G66" s="4"/>
    </row>
    <row r="67" spans="7:19" x14ac:dyDescent="0.15">
      <c r="G67" s="4"/>
    </row>
    <row r="71" spans="7:19" x14ac:dyDescent="0.15">
      <c r="G71" s="7"/>
    </row>
  </sheetData>
  <pageMargins left="0.7" right="0.7" top="0.75" bottom="0.75" header="0.3" footer="0.3"/>
  <pageSetup orientation="portrait" horizontalDpi="4294967294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89"/>
  <sheetViews>
    <sheetView tabSelected="1" topLeftCell="A17" zoomScale="75" zoomScaleNormal="55" workbookViewId="0">
      <selection activeCell="E11" sqref="E11"/>
    </sheetView>
  </sheetViews>
  <sheetFormatPr baseColWidth="10" defaultColWidth="11.33203125" defaultRowHeight="13" x14ac:dyDescent="0.15"/>
  <cols>
    <col min="1" max="2" width="11.33203125" style="3"/>
    <col min="3" max="3" width="27.1640625" style="3" customWidth="1"/>
    <col min="4" max="4" width="11.83203125" style="3" customWidth="1"/>
    <col min="5" max="5" width="15.83203125" style="3" customWidth="1"/>
    <col min="6" max="6" width="11.33203125" style="3"/>
    <col min="7" max="7" width="33.83203125" style="3" customWidth="1"/>
    <col min="8" max="8" width="11.6640625" style="3" bestFit="1" customWidth="1"/>
    <col min="9" max="9" width="14.6640625" style="3" bestFit="1" customWidth="1"/>
    <col min="10" max="10" width="11.33203125" style="3"/>
    <col min="11" max="11" width="12" style="3" bestFit="1" customWidth="1"/>
    <col min="12" max="19" width="11.33203125" style="3"/>
    <col min="20" max="20" width="9.5" style="3" customWidth="1"/>
    <col min="21" max="21" width="14.1640625" style="2" customWidth="1"/>
    <col min="22" max="16384" width="11.33203125" style="3"/>
  </cols>
  <sheetData>
    <row r="1" spans="1:21" x14ac:dyDescent="0.15">
      <c r="A1" s="2" t="s">
        <v>39</v>
      </c>
    </row>
    <row r="3" spans="1:21" x14ac:dyDescent="0.15">
      <c r="A3" s="88" t="s">
        <v>40</v>
      </c>
      <c r="C3" s="2" t="s">
        <v>41</v>
      </c>
      <c r="D3" s="83">
        <f>SUM(L24,K45,J70)</f>
        <v>30721.284266586521</v>
      </c>
    </row>
    <row r="4" spans="1:21" x14ac:dyDescent="0.15">
      <c r="A4" s="2"/>
    </row>
    <row r="5" spans="1:21" s="12" customFormat="1" x14ac:dyDescent="0.15">
      <c r="A5" s="12" t="s">
        <v>42</v>
      </c>
    </row>
    <row r="6" spans="1:21" x14ac:dyDescent="0.15">
      <c r="A6" s="2" t="s">
        <v>43</v>
      </c>
    </row>
    <row r="7" spans="1:21" s="13" customFormat="1" x14ac:dyDescent="0.15">
      <c r="A7" s="3" t="s">
        <v>44</v>
      </c>
      <c r="B7" s="3"/>
      <c r="C7" s="3"/>
      <c r="D7" s="3"/>
      <c r="E7" s="3"/>
      <c r="F7" s="3"/>
      <c r="G7" s="5" t="s">
        <v>45</v>
      </c>
      <c r="H7" s="6">
        <v>46388</v>
      </c>
      <c r="I7" s="6">
        <v>46419</v>
      </c>
      <c r="J7" s="6">
        <v>46447</v>
      </c>
      <c r="K7" s="6">
        <v>46478</v>
      </c>
      <c r="L7" s="6">
        <v>46508</v>
      </c>
      <c r="M7" s="6">
        <v>46539</v>
      </c>
      <c r="N7" s="6">
        <v>46569</v>
      </c>
      <c r="O7" s="6">
        <v>46600</v>
      </c>
      <c r="P7" s="6">
        <v>46631</v>
      </c>
      <c r="Q7" s="6">
        <v>46661</v>
      </c>
      <c r="R7" s="6">
        <v>46692</v>
      </c>
      <c r="S7" s="6">
        <v>46722</v>
      </c>
      <c r="T7" s="6"/>
      <c r="U7" s="5" t="s">
        <v>26</v>
      </c>
    </row>
    <row r="8" spans="1:21" x14ac:dyDescent="0.15">
      <c r="G8" s="2" t="s">
        <v>46</v>
      </c>
      <c r="H8" s="14">
        <v>50</v>
      </c>
      <c r="I8" s="14">
        <f>H8*(1+H9)</f>
        <v>120</v>
      </c>
      <c r="J8" s="14">
        <f t="shared" ref="J8:S8" si="0">I8*(1+I9)</f>
        <v>249.60000000000002</v>
      </c>
      <c r="K8" s="14">
        <f>J8*(1+J9)</f>
        <v>349.44</v>
      </c>
      <c r="L8" s="14">
        <f t="shared" si="0"/>
        <v>499.69919999999996</v>
      </c>
      <c r="M8" s="14">
        <f t="shared" si="0"/>
        <v>699.57887999999991</v>
      </c>
      <c r="N8" s="14">
        <f t="shared" si="0"/>
        <v>902.45675519999986</v>
      </c>
      <c r="O8" s="14">
        <f t="shared" si="0"/>
        <v>1100.9972413439998</v>
      </c>
      <c r="P8" s="14">
        <f t="shared" si="0"/>
        <v>1299.1767447859197</v>
      </c>
      <c r="Q8" s="14">
        <f t="shared" si="0"/>
        <v>1494.0532565038075</v>
      </c>
      <c r="R8" s="14">
        <f t="shared" si="0"/>
        <v>1688.2801798493022</v>
      </c>
      <c r="S8" s="14">
        <f t="shared" si="0"/>
        <v>1992.1706122221765</v>
      </c>
      <c r="U8" s="15">
        <f>S8</f>
        <v>1992.1706122221765</v>
      </c>
    </row>
    <row r="9" spans="1:21" x14ac:dyDescent="0.15">
      <c r="G9" s="2" t="s">
        <v>47</v>
      </c>
      <c r="H9" s="16">
        <v>1.4</v>
      </c>
      <c r="I9" s="16">
        <v>1.08</v>
      </c>
      <c r="J9" s="16">
        <v>0.4</v>
      </c>
      <c r="K9" s="16">
        <v>0.43</v>
      </c>
      <c r="L9" s="16">
        <v>0.4</v>
      </c>
      <c r="M9" s="16">
        <v>0.28999999999999998</v>
      </c>
      <c r="N9" s="16">
        <v>0.22</v>
      </c>
      <c r="O9" s="16">
        <v>0.18</v>
      </c>
      <c r="P9" s="16">
        <v>0.15</v>
      </c>
      <c r="Q9" s="16">
        <v>0.13</v>
      </c>
      <c r="R9" s="16">
        <v>0.18</v>
      </c>
      <c r="S9" s="16"/>
      <c r="U9" s="17">
        <f>AVERAGE(H9:S9)</f>
        <v>0.44181818181818178</v>
      </c>
    </row>
    <row r="10" spans="1:21" x14ac:dyDescent="0.15">
      <c r="G10" s="2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U10" s="17"/>
    </row>
    <row r="12" spans="1:21" x14ac:dyDescent="0.15">
      <c r="A12" s="2" t="s">
        <v>48</v>
      </c>
      <c r="G12" s="5" t="s">
        <v>49</v>
      </c>
      <c r="H12" s="6" t="s">
        <v>46</v>
      </c>
      <c r="I12" s="6" t="s">
        <v>50</v>
      </c>
      <c r="J12" s="6" t="s">
        <v>51</v>
      </c>
      <c r="K12" s="6" t="s">
        <v>52</v>
      </c>
      <c r="L12" s="6" t="s">
        <v>26</v>
      </c>
      <c r="M12" s="84"/>
      <c r="N12" s="84"/>
      <c r="O12" s="84"/>
      <c r="P12" s="84"/>
      <c r="Q12" s="84"/>
      <c r="R12" s="84"/>
      <c r="S12" s="84"/>
    </row>
    <row r="13" spans="1:21" x14ac:dyDescent="0.15">
      <c r="A13" s="2" t="s">
        <v>53</v>
      </c>
      <c r="B13" s="2"/>
      <c r="G13" s="3" t="s">
        <v>54</v>
      </c>
      <c r="H13" s="18">
        <f>H8</f>
        <v>50</v>
      </c>
      <c r="I13" s="16">
        <f>B14+(B15-B14) * (ROW() - ROW(I13)) / (B16 - 1)</f>
        <v>0.1</v>
      </c>
      <c r="J13" s="18">
        <f>H8*I13</f>
        <v>5</v>
      </c>
      <c r="K13" s="87">
        <f>J13*B18</f>
        <v>39.950000000000003</v>
      </c>
      <c r="L13" s="18"/>
      <c r="M13" s="18"/>
      <c r="N13" s="18"/>
      <c r="O13" s="18"/>
      <c r="P13" s="18"/>
      <c r="Q13" s="18"/>
      <c r="R13" s="18"/>
      <c r="S13" s="18"/>
      <c r="U13" s="15"/>
    </row>
    <row r="14" spans="1:21" x14ac:dyDescent="0.15">
      <c r="A14" s="3" t="s">
        <v>55</v>
      </c>
      <c r="B14" s="17">
        <v>0.1</v>
      </c>
      <c r="D14" s="16"/>
      <c r="E14" s="16"/>
      <c r="G14" s="3" t="s">
        <v>56</v>
      </c>
      <c r="H14" s="18">
        <f>I8</f>
        <v>120</v>
      </c>
      <c r="I14" s="86">
        <f>B14+(B15-B14) * (ROW() - ROW(I13)) / (B16 - 1)</f>
        <v>0.10727272727272728</v>
      </c>
      <c r="J14" s="18">
        <f>I8*I14</f>
        <v>12.872727272727275</v>
      </c>
      <c r="K14" s="87">
        <f>J14*B18</f>
        <v>102.85309090909092</v>
      </c>
      <c r="L14" s="18"/>
      <c r="M14" s="18"/>
      <c r="N14" s="18"/>
      <c r="O14" s="18"/>
      <c r="P14" s="18"/>
      <c r="Q14" s="18"/>
      <c r="R14" s="18"/>
      <c r="S14" s="18"/>
      <c r="U14" s="15"/>
    </row>
    <row r="15" spans="1:21" x14ac:dyDescent="0.15">
      <c r="A15" s="3" t="s">
        <v>57</v>
      </c>
      <c r="B15" s="17">
        <v>0.18</v>
      </c>
      <c r="G15" s="3" t="s">
        <v>58</v>
      </c>
      <c r="H15" s="14">
        <f>J8</f>
        <v>249.60000000000002</v>
      </c>
      <c r="I15" s="86">
        <f>B14+(B15-B14) * (2/11)</f>
        <v>0.11454545454545455</v>
      </c>
      <c r="J15" s="14">
        <f>J8*I15</f>
        <v>28.590545454545456</v>
      </c>
      <c r="K15" s="87">
        <f>J15*B18</f>
        <v>228.43845818181819</v>
      </c>
    </row>
    <row r="16" spans="1:21" x14ac:dyDescent="0.15">
      <c r="A16" s="3" t="s">
        <v>59</v>
      </c>
      <c r="B16" s="15">
        <v>12</v>
      </c>
      <c r="D16" s="16"/>
      <c r="F16" s="16"/>
      <c r="G16" s="3" t="s">
        <v>60</v>
      </c>
      <c r="H16" s="14">
        <f>K8</f>
        <v>349.44</v>
      </c>
      <c r="I16" s="86">
        <f>B14+(B15-B14) * (3/11)</f>
        <v>0.12181818181818183</v>
      </c>
      <c r="J16" s="14">
        <f>K8*I16</f>
        <v>42.568145454545459</v>
      </c>
      <c r="K16" s="87">
        <f>J16*B18</f>
        <v>340.11948218181823</v>
      </c>
    </row>
    <row r="17" spans="1:21" x14ac:dyDescent="0.15">
      <c r="A17" s="2"/>
      <c r="B17" s="2"/>
      <c r="D17" s="16"/>
      <c r="E17" s="16"/>
      <c r="G17" s="3" t="s">
        <v>61</v>
      </c>
      <c r="H17" s="14">
        <f>L8</f>
        <v>499.69919999999996</v>
      </c>
      <c r="I17" s="86">
        <f>B14+(B15-B14) * (4/11)</f>
        <v>0.12909090909090909</v>
      </c>
      <c r="J17" s="14">
        <f>L8*I17</f>
        <v>64.506623999999988</v>
      </c>
      <c r="K17" s="87">
        <f>J17*B18</f>
        <v>515.4079257599999</v>
      </c>
    </row>
    <row r="18" spans="1:21" x14ac:dyDescent="0.15">
      <c r="A18" s="2" t="s">
        <v>62</v>
      </c>
      <c r="B18" s="2">
        <v>7.99</v>
      </c>
      <c r="G18" s="3" t="s">
        <v>63</v>
      </c>
      <c r="H18" s="14">
        <f>M8</f>
        <v>699.57887999999991</v>
      </c>
      <c r="I18" s="86">
        <f>B14+(B15-B14) * (5/11)</f>
        <v>0.13636363636363635</v>
      </c>
      <c r="J18" s="14">
        <f>M8*I18</f>
        <v>95.397119999999987</v>
      </c>
      <c r="K18" s="87">
        <f>J18*B18</f>
        <v>762.22298879999994</v>
      </c>
    </row>
    <row r="19" spans="1:21" x14ac:dyDescent="0.15">
      <c r="B19" s="2"/>
      <c r="G19" s="3" t="s">
        <v>64</v>
      </c>
      <c r="H19" s="14">
        <f>N8</f>
        <v>902.45675519999986</v>
      </c>
      <c r="I19" s="86">
        <f>B14+(B15-B14) * (6/11)</f>
        <v>0.14363636363636362</v>
      </c>
      <c r="J19" s="14">
        <f>N8*I19</f>
        <v>129.62560665599997</v>
      </c>
      <c r="K19" s="87">
        <f>J19*B18</f>
        <v>1035.7085971814399</v>
      </c>
      <c r="L19" s="18"/>
      <c r="M19" s="18"/>
      <c r="N19" s="18"/>
      <c r="O19" s="18"/>
      <c r="P19" s="18"/>
      <c r="Q19" s="18"/>
      <c r="R19" s="18"/>
      <c r="S19" s="18"/>
      <c r="T19" s="18"/>
      <c r="U19" s="15"/>
    </row>
    <row r="20" spans="1:21" x14ac:dyDescent="0.15">
      <c r="B20" s="2"/>
      <c r="D20" s="16"/>
      <c r="E20" s="16"/>
      <c r="G20" s="3" t="s">
        <v>65</v>
      </c>
      <c r="H20" s="14">
        <f>O8</f>
        <v>1100.9972413439998</v>
      </c>
      <c r="I20" s="86">
        <f>B14+(B15-B14) * (7/11)</f>
        <v>0.15090909090909091</v>
      </c>
      <c r="J20" s="14">
        <f>O8*I20</f>
        <v>166.15049278463997</v>
      </c>
      <c r="K20" s="87">
        <f>J20*B18</f>
        <v>1327.5424373492733</v>
      </c>
      <c r="L20" s="18"/>
      <c r="M20" s="18"/>
      <c r="N20" s="18"/>
      <c r="O20" s="18"/>
      <c r="P20" s="18"/>
      <c r="Q20" s="18"/>
      <c r="R20" s="18"/>
      <c r="S20" s="18"/>
      <c r="T20" s="18"/>
      <c r="U20" s="15"/>
    </row>
    <row r="21" spans="1:21" x14ac:dyDescent="0.15">
      <c r="B21" s="2"/>
      <c r="G21" s="3" t="s">
        <v>66</v>
      </c>
      <c r="H21" s="14">
        <f>P8</f>
        <v>1299.1767447859197</v>
      </c>
      <c r="I21" s="86">
        <f>B14+(B15-B14) * (8/11)</f>
        <v>0.15818181818181817</v>
      </c>
      <c r="J21" s="14">
        <f>P8*I21</f>
        <v>205.50613962977275</v>
      </c>
      <c r="K21" s="87">
        <f>J21*B18</f>
        <v>1641.9940556418842</v>
      </c>
    </row>
    <row r="22" spans="1:21" x14ac:dyDescent="0.15">
      <c r="B22" s="2"/>
      <c r="D22" s="16"/>
      <c r="F22" s="16"/>
      <c r="G22" s="3" t="s">
        <v>67</v>
      </c>
      <c r="H22" s="14">
        <f>Q8</f>
        <v>1494.0532565038075</v>
      </c>
      <c r="I22" s="86">
        <f>B14+(B15-B14) * (9/11)</f>
        <v>0.16545454545454547</v>
      </c>
      <c r="J22" s="14">
        <f>Q8*I22</f>
        <v>247.19790243972088</v>
      </c>
      <c r="K22" s="87">
        <f>J22*B18</f>
        <v>1975.1112404933699</v>
      </c>
    </row>
    <row r="23" spans="1:21" x14ac:dyDescent="0.15">
      <c r="B23" s="2"/>
      <c r="D23" s="16"/>
      <c r="E23" s="16"/>
      <c r="G23" s="3" t="s">
        <v>68</v>
      </c>
      <c r="H23" s="14">
        <f>R8</f>
        <v>1688.2801798493022</v>
      </c>
      <c r="I23" s="86">
        <f>B14+(B15-B14) * (10/11)</f>
        <v>0.17272727272727273</v>
      </c>
      <c r="J23" s="14">
        <f>R8*I23</f>
        <v>291.61203106487949</v>
      </c>
      <c r="K23" s="87">
        <f>J23*B18</f>
        <v>2329.9801282083872</v>
      </c>
    </row>
    <row r="24" spans="1:21" x14ac:dyDescent="0.15">
      <c r="G24" s="3" t="s">
        <v>69</v>
      </c>
      <c r="H24" s="14">
        <f>S8</f>
        <v>1992.1706122221765</v>
      </c>
      <c r="I24" s="16">
        <f>B14+(B15-B14) * (11/11)</f>
        <v>0.18</v>
      </c>
      <c r="J24" s="14">
        <f>S8*I24</f>
        <v>358.59071019999175</v>
      </c>
      <c r="K24" s="87">
        <f>J24*B18</f>
        <v>2865.139774497934</v>
      </c>
      <c r="L24" s="2">
        <f>SUM(K13:K24)</f>
        <v>13164.468179205014</v>
      </c>
    </row>
    <row r="25" spans="1:21" x14ac:dyDescent="0.15">
      <c r="B25" s="2"/>
      <c r="H25" s="85"/>
    </row>
    <row r="26" spans="1:21" x14ac:dyDescent="0.15">
      <c r="B26" s="2"/>
      <c r="D26" s="16"/>
    </row>
    <row r="30" spans="1:21" s="19" customFormat="1" x14ac:dyDescent="0.15">
      <c r="A30" s="12" t="s">
        <v>70</v>
      </c>
      <c r="U30" s="12"/>
    </row>
    <row r="31" spans="1:21" x14ac:dyDescent="0.15">
      <c r="A31" s="3" t="s">
        <v>71</v>
      </c>
      <c r="B31" s="17">
        <v>0.5</v>
      </c>
    </row>
    <row r="32" spans="1:21" x14ac:dyDescent="0.15">
      <c r="A32" s="3" t="s">
        <v>72</v>
      </c>
      <c r="B32" s="17">
        <v>0.1</v>
      </c>
    </row>
    <row r="33" spans="1:21" x14ac:dyDescent="0.15">
      <c r="A33" s="3" t="s">
        <v>73</v>
      </c>
      <c r="B33" s="90">
        <v>25</v>
      </c>
      <c r="G33" s="5" t="s">
        <v>25</v>
      </c>
      <c r="H33" s="6" t="s">
        <v>46</v>
      </c>
      <c r="I33" s="6" t="s">
        <v>74</v>
      </c>
      <c r="J33" s="6" t="s">
        <v>52</v>
      </c>
      <c r="K33" s="6" t="s">
        <v>26</v>
      </c>
      <c r="L33" s="84"/>
      <c r="M33" s="84"/>
      <c r="N33" s="84"/>
      <c r="O33" s="84"/>
      <c r="P33" s="84"/>
      <c r="Q33" s="84"/>
      <c r="S33" s="2"/>
      <c r="U33" s="3"/>
    </row>
    <row r="34" spans="1:21" x14ac:dyDescent="0.15">
      <c r="G34" s="3" t="s">
        <v>54</v>
      </c>
      <c r="H34" s="14">
        <f>H13</f>
        <v>50</v>
      </c>
      <c r="I34" s="14">
        <f>H34*B31*B32</f>
        <v>2.5</v>
      </c>
      <c r="J34" s="87">
        <f>B33*I34</f>
        <v>62.5</v>
      </c>
      <c r="S34" s="15"/>
      <c r="U34" s="3"/>
    </row>
    <row r="35" spans="1:21" x14ac:dyDescent="0.15">
      <c r="G35" s="3" t="s">
        <v>56</v>
      </c>
      <c r="H35" s="14">
        <f t="shared" ref="H35:H45" si="1">H14</f>
        <v>120</v>
      </c>
      <c r="I35" s="14">
        <f>H35*B31*B32</f>
        <v>6</v>
      </c>
      <c r="J35" s="87">
        <f>B33*I35</f>
        <v>150</v>
      </c>
      <c r="K35" s="18"/>
      <c r="L35" s="18"/>
      <c r="M35" s="18"/>
      <c r="N35" s="18"/>
      <c r="O35" s="18"/>
      <c r="P35" s="18"/>
      <c r="Q35" s="18"/>
      <c r="S35" s="15"/>
      <c r="U35" s="3"/>
    </row>
    <row r="36" spans="1:21" x14ac:dyDescent="0.15">
      <c r="C36" s="2"/>
      <c r="E36" s="2"/>
      <c r="G36" s="3" t="s">
        <v>58</v>
      </c>
      <c r="H36" s="14">
        <f t="shared" si="1"/>
        <v>249.60000000000002</v>
      </c>
      <c r="I36" s="14">
        <f>H36*B31*B32</f>
        <v>12.480000000000002</v>
      </c>
      <c r="J36" s="87">
        <f>B33*I36</f>
        <v>312.00000000000006</v>
      </c>
      <c r="K36" s="18"/>
      <c r="L36" s="18"/>
      <c r="M36" s="18"/>
      <c r="N36" s="18"/>
      <c r="O36" s="18"/>
      <c r="P36" s="18"/>
      <c r="Q36" s="18"/>
      <c r="S36" s="15"/>
      <c r="U36" s="3"/>
    </row>
    <row r="37" spans="1:21" x14ac:dyDescent="0.15">
      <c r="D37" s="16"/>
      <c r="G37" s="3" t="s">
        <v>60</v>
      </c>
      <c r="H37" s="14">
        <f t="shared" si="1"/>
        <v>349.44</v>
      </c>
      <c r="I37" s="14">
        <f>H37*B31*B32</f>
        <v>17.472000000000001</v>
      </c>
      <c r="J37" s="87">
        <f>B33*I37</f>
        <v>436.8</v>
      </c>
      <c r="K37" s="18"/>
      <c r="L37" s="18"/>
      <c r="M37" s="18"/>
      <c r="N37" s="18"/>
      <c r="O37" s="18"/>
      <c r="P37" s="18"/>
      <c r="Q37" s="18"/>
      <c r="S37" s="15"/>
      <c r="U37" s="3"/>
    </row>
    <row r="38" spans="1:21" x14ac:dyDescent="0.15">
      <c r="G38" s="3" t="s">
        <v>61</v>
      </c>
      <c r="H38" s="14">
        <f t="shared" si="1"/>
        <v>499.69919999999996</v>
      </c>
      <c r="I38" s="14">
        <f>H38*B31*B32</f>
        <v>24.984960000000001</v>
      </c>
      <c r="J38" s="87">
        <f>B33*I38</f>
        <v>624.62400000000002</v>
      </c>
      <c r="K38" s="18"/>
      <c r="L38" s="18"/>
      <c r="M38" s="18"/>
      <c r="N38" s="18"/>
      <c r="O38" s="18"/>
      <c r="P38" s="18"/>
      <c r="Q38" s="18"/>
      <c r="S38" s="15"/>
      <c r="U38" s="3"/>
    </row>
    <row r="39" spans="1:21" x14ac:dyDescent="0.15">
      <c r="G39" s="3" t="s">
        <v>63</v>
      </c>
      <c r="H39" s="14">
        <f t="shared" si="1"/>
        <v>699.57887999999991</v>
      </c>
      <c r="I39" s="14">
        <f>H39*B31*B32</f>
        <v>34.978943999999998</v>
      </c>
      <c r="J39" s="87">
        <f>B33*I39</f>
        <v>874.47359999999992</v>
      </c>
      <c r="K39" s="39"/>
      <c r="L39" s="39"/>
      <c r="M39" s="39"/>
      <c r="N39" s="39"/>
      <c r="O39" s="39"/>
      <c r="P39" s="39"/>
      <c r="Q39" s="39"/>
      <c r="S39" s="15"/>
      <c r="U39" s="3"/>
    </row>
    <row r="40" spans="1:21" x14ac:dyDescent="0.15">
      <c r="D40" s="16"/>
      <c r="G40" s="3" t="s">
        <v>64</v>
      </c>
      <c r="H40" s="14">
        <f t="shared" si="1"/>
        <v>902.45675519999986</v>
      </c>
      <c r="I40" s="14">
        <f>H40*B31*B32</f>
        <v>45.122837759999996</v>
      </c>
      <c r="J40" s="87">
        <f>B33*I40</f>
        <v>1128.0709439999998</v>
      </c>
      <c r="K40" s="39"/>
      <c r="L40" s="39"/>
      <c r="M40" s="39"/>
      <c r="N40" s="39"/>
      <c r="O40" s="39"/>
      <c r="P40" s="39"/>
      <c r="Q40" s="39"/>
      <c r="S40" s="15"/>
      <c r="U40" s="3"/>
    </row>
    <row r="41" spans="1:21" x14ac:dyDescent="0.15">
      <c r="G41" s="3" t="s">
        <v>65</v>
      </c>
      <c r="H41" s="14">
        <f t="shared" si="1"/>
        <v>1100.9972413439998</v>
      </c>
      <c r="I41" s="14">
        <f>H41*B31*B32</f>
        <v>55.049862067199996</v>
      </c>
      <c r="J41" s="87">
        <f>B33*I41</f>
        <v>1376.2465516799998</v>
      </c>
      <c r="S41" s="2"/>
      <c r="U41" s="3"/>
    </row>
    <row r="42" spans="1:21" x14ac:dyDescent="0.15">
      <c r="G42" s="3" t="s">
        <v>66</v>
      </c>
      <c r="H42" s="14">
        <f t="shared" si="1"/>
        <v>1299.1767447859197</v>
      </c>
      <c r="I42" s="14">
        <f>H42*B31*B32</f>
        <v>64.958837239295988</v>
      </c>
      <c r="J42" s="87">
        <f>B33*I42</f>
        <v>1623.9709309823998</v>
      </c>
      <c r="S42" s="2"/>
      <c r="U42" s="3"/>
    </row>
    <row r="43" spans="1:21" x14ac:dyDescent="0.15">
      <c r="B43" s="2"/>
      <c r="D43" s="16"/>
      <c r="F43" s="16"/>
      <c r="G43" s="3" t="s">
        <v>67</v>
      </c>
      <c r="H43" s="14">
        <f t="shared" si="1"/>
        <v>1494.0532565038075</v>
      </c>
      <c r="I43" s="14">
        <f>H43*B31*B32</f>
        <v>74.702662825190373</v>
      </c>
      <c r="J43" s="87">
        <f>B33*I43</f>
        <v>1867.5665706297593</v>
      </c>
      <c r="S43" s="2"/>
      <c r="U43" s="3"/>
    </row>
    <row r="44" spans="1:21" x14ac:dyDescent="0.15">
      <c r="G44" s="3" t="s">
        <v>68</v>
      </c>
      <c r="H44" s="14">
        <f t="shared" si="1"/>
        <v>1688.2801798493022</v>
      </c>
      <c r="I44" s="14">
        <f>H44*B31*B32</f>
        <v>84.414008992465114</v>
      </c>
      <c r="J44" s="87">
        <f>B33*I44</f>
        <v>2110.3502248116279</v>
      </c>
      <c r="K44" s="18"/>
      <c r="L44" s="18"/>
      <c r="M44" s="18"/>
      <c r="N44" s="18"/>
      <c r="O44" s="18"/>
      <c r="P44" s="18"/>
      <c r="Q44" s="18"/>
      <c r="S44" s="2"/>
      <c r="U44" s="3"/>
    </row>
    <row r="45" spans="1:21" x14ac:dyDescent="0.15">
      <c r="D45" s="16"/>
      <c r="G45" s="3" t="s">
        <v>69</v>
      </c>
      <c r="H45" s="14">
        <f t="shared" si="1"/>
        <v>1992.1706122221765</v>
      </c>
      <c r="I45" s="14">
        <f>H45*B31*B32</f>
        <v>99.608530611108833</v>
      </c>
      <c r="J45" s="87">
        <f>B33*I45</f>
        <v>2490.2132652777209</v>
      </c>
      <c r="K45" s="83">
        <f>SUM(J34:J45)</f>
        <v>13056.816087381507</v>
      </c>
      <c r="L45" s="18"/>
      <c r="M45" s="18"/>
      <c r="N45" s="18"/>
      <c r="O45" s="18"/>
      <c r="P45" s="18"/>
      <c r="Q45" s="18"/>
      <c r="S45" s="2"/>
      <c r="U45" s="3"/>
    </row>
    <row r="46" spans="1:21" x14ac:dyDescent="0.15">
      <c r="D46" s="16"/>
      <c r="F46" s="16"/>
      <c r="G46" s="2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</row>
    <row r="47" spans="1:21" x14ac:dyDescent="0.15">
      <c r="D47" s="16"/>
      <c r="F47" s="16"/>
      <c r="G47" s="2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spans="1:21" x14ac:dyDescent="0.15">
      <c r="D48" s="16"/>
      <c r="F48" s="16"/>
      <c r="G48" s="2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</row>
    <row r="49" spans="1:21" x14ac:dyDescent="0.15">
      <c r="G49" s="2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</row>
    <row r="51" spans="1:21" x14ac:dyDescent="0.15">
      <c r="G51" s="2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21" x14ac:dyDescent="0.15">
      <c r="G52" s="2"/>
    </row>
    <row r="53" spans="1:21" x14ac:dyDescent="0.15">
      <c r="F53" s="16"/>
      <c r="G53" s="2"/>
    </row>
    <row r="55" spans="1:21" s="91" customFormat="1" ht="12" customHeight="1" x14ac:dyDescent="0.15">
      <c r="A55" s="89" t="s">
        <v>75</v>
      </c>
      <c r="U55" s="89"/>
    </row>
    <row r="56" spans="1:21" x14ac:dyDescent="0.15">
      <c r="A56" s="3" t="s">
        <v>76</v>
      </c>
      <c r="B56" s="14">
        <v>2</v>
      </c>
    </row>
    <row r="57" spans="1:21" x14ac:dyDescent="0.15">
      <c r="A57" s="3" t="s">
        <v>77</v>
      </c>
      <c r="B57" s="14">
        <v>1</v>
      </c>
    </row>
    <row r="58" spans="1:21" x14ac:dyDescent="0.15">
      <c r="A58" s="3" t="s">
        <v>78</v>
      </c>
      <c r="B58" s="3">
        <v>50</v>
      </c>
      <c r="G58" s="5" t="s">
        <v>25</v>
      </c>
      <c r="H58" s="6" t="s">
        <v>79</v>
      </c>
      <c r="I58" s="6" t="s">
        <v>52</v>
      </c>
      <c r="J58" s="6" t="s">
        <v>26</v>
      </c>
      <c r="K58" s="84"/>
      <c r="L58" s="84"/>
      <c r="M58" s="84"/>
      <c r="N58" s="84"/>
      <c r="O58" s="84"/>
      <c r="P58" s="84"/>
      <c r="Q58" s="84"/>
      <c r="R58" s="84"/>
      <c r="S58" s="84"/>
    </row>
    <row r="59" spans="1:21" x14ac:dyDescent="0.15">
      <c r="C59" s="2"/>
      <c r="E59" s="2"/>
      <c r="G59" s="3" t="s">
        <v>54</v>
      </c>
      <c r="H59" s="14">
        <v>2</v>
      </c>
      <c r="I59" s="81">
        <f>H59*B58</f>
        <v>100</v>
      </c>
    </row>
    <row r="60" spans="1:21" x14ac:dyDescent="0.15">
      <c r="G60" s="3" t="s">
        <v>56</v>
      </c>
      <c r="H60" s="14">
        <v>3</v>
      </c>
      <c r="I60" s="81">
        <f>H60*B58</f>
        <v>150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U60" s="22"/>
    </row>
    <row r="61" spans="1:21" x14ac:dyDescent="0.15">
      <c r="G61" s="3" t="s">
        <v>58</v>
      </c>
      <c r="H61" s="14">
        <v>4</v>
      </c>
      <c r="I61" s="81">
        <f>H61*B58</f>
        <v>200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U61" s="23"/>
    </row>
    <row r="62" spans="1:21" x14ac:dyDescent="0.15">
      <c r="G62" s="3" t="s">
        <v>60</v>
      </c>
      <c r="H62" s="14">
        <v>5</v>
      </c>
      <c r="I62" s="81">
        <f>H62*B58</f>
        <v>250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U62" s="22"/>
    </row>
    <row r="63" spans="1:21" x14ac:dyDescent="0.15">
      <c r="G63" s="3" t="s">
        <v>61</v>
      </c>
      <c r="H63" s="14">
        <v>6</v>
      </c>
      <c r="I63" s="81">
        <f>H63*B58</f>
        <v>300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U63" s="17"/>
    </row>
    <row r="64" spans="1:21" x14ac:dyDescent="0.15">
      <c r="G64" s="3" t="s">
        <v>63</v>
      </c>
      <c r="H64" s="14">
        <v>7</v>
      </c>
      <c r="I64" s="81">
        <f>H64*B58</f>
        <v>350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3:21" x14ac:dyDescent="0.15">
      <c r="G65" s="3" t="s">
        <v>64</v>
      </c>
      <c r="H65" s="14">
        <v>8</v>
      </c>
      <c r="I65" s="81">
        <f>H65*B58</f>
        <v>400</v>
      </c>
      <c r="U65" s="22"/>
    </row>
    <row r="66" spans="3:21" x14ac:dyDescent="0.15">
      <c r="G66" s="3" t="s">
        <v>65</v>
      </c>
      <c r="H66" s="14">
        <v>9</v>
      </c>
      <c r="I66" s="81">
        <f>H66*B58</f>
        <v>450</v>
      </c>
    </row>
    <row r="67" spans="3:21" x14ac:dyDescent="0.15">
      <c r="G67" s="3" t="s">
        <v>66</v>
      </c>
      <c r="H67" s="14">
        <v>10</v>
      </c>
      <c r="I67" s="81">
        <f>H67*B58</f>
        <v>500</v>
      </c>
    </row>
    <row r="68" spans="3:21" x14ac:dyDescent="0.15">
      <c r="G68" s="3" t="s">
        <v>67</v>
      </c>
      <c r="H68" s="14">
        <v>11</v>
      </c>
      <c r="I68" s="81">
        <f>H68*B58</f>
        <v>550</v>
      </c>
    </row>
    <row r="69" spans="3:21" x14ac:dyDescent="0.15">
      <c r="G69" s="3" t="s">
        <v>68</v>
      </c>
      <c r="H69" s="14">
        <v>12</v>
      </c>
      <c r="I69" s="81">
        <f>H69*B58</f>
        <v>600</v>
      </c>
      <c r="U69" s="22"/>
    </row>
    <row r="70" spans="3:21" x14ac:dyDescent="0.15">
      <c r="C70" s="2"/>
      <c r="G70" s="3" t="s">
        <v>69</v>
      </c>
      <c r="H70" s="14">
        <v>13</v>
      </c>
      <c r="I70" s="81">
        <f>H70*B58</f>
        <v>650</v>
      </c>
      <c r="J70" s="83">
        <f>SUM(I59:I70)</f>
        <v>4500</v>
      </c>
      <c r="K70" s="16"/>
      <c r="L70" s="16"/>
      <c r="M70" s="16"/>
      <c r="N70" s="16"/>
      <c r="O70" s="16"/>
      <c r="P70" s="16"/>
      <c r="Q70" s="16"/>
      <c r="R70" s="16"/>
      <c r="S70" s="16"/>
      <c r="U70" s="17"/>
    </row>
    <row r="71" spans="3:21" x14ac:dyDescent="0.15">
      <c r="G71" s="2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U71" s="22"/>
    </row>
    <row r="72" spans="3:21" x14ac:dyDescent="0.15">
      <c r="G72" s="2"/>
    </row>
    <row r="73" spans="3:21" x14ac:dyDescent="0.15">
      <c r="G73" s="2"/>
    </row>
    <row r="75" spans="3:21" x14ac:dyDescent="0.15">
      <c r="G75" s="2"/>
      <c r="H75" s="18"/>
      <c r="U75" s="22"/>
    </row>
    <row r="76" spans="3:21" x14ac:dyDescent="0.15">
      <c r="G76" s="2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U76" s="17"/>
    </row>
    <row r="77" spans="3:21" x14ac:dyDescent="0.15">
      <c r="C77" s="2"/>
      <c r="G77" s="2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U77" s="22"/>
    </row>
    <row r="78" spans="3:21" x14ac:dyDescent="0.15">
      <c r="G78" s="2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16"/>
    </row>
    <row r="79" spans="3:21" x14ac:dyDescent="0.15">
      <c r="G79" s="2"/>
    </row>
    <row r="81" spans="6:35" x14ac:dyDescent="0.15">
      <c r="G81" s="2"/>
    </row>
    <row r="82" spans="6:35" x14ac:dyDescent="0.15">
      <c r="G82" s="2"/>
    </row>
    <row r="83" spans="6:35" x14ac:dyDescent="0.15">
      <c r="F83" s="16"/>
    </row>
    <row r="88" spans="6:35" x14ac:dyDescent="0.15">
      <c r="H88" s="18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6:35" x14ac:dyDescent="0.15">
      <c r="H89" s="21"/>
    </row>
  </sheetData>
  <phoneticPr fontId="22" type="noConversion"/>
  <pageMargins left="0.7" right="0.7" top="0.75" bottom="0.75" header="0.3" footer="0.3"/>
  <pageSetup orientation="portrait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8"/>
  <sheetViews>
    <sheetView topLeftCell="B1" zoomScale="106" zoomScaleNormal="61" workbookViewId="0">
      <selection activeCell="G30" sqref="G30"/>
    </sheetView>
  </sheetViews>
  <sheetFormatPr baseColWidth="10" defaultColWidth="8.83203125" defaultRowHeight="14" x14ac:dyDescent="0.2"/>
  <cols>
    <col min="1" max="1" width="8.83203125" style="26"/>
    <col min="2" max="2" width="42.5" style="26" customWidth="1"/>
    <col min="3" max="3" width="13.83203125" style="26" customWidth="1"/>
    <col min="4" max="4" width="15.5" style="26" customWidth="1"/>
    <col min="5" max="5" width="7.6640625" style="26" customWidth="1"/>
    <col min="6" max="12" width="10" style="26" bestFit="1" customWidth="1"/>
    <col min="13" max="13" width="12.1640625" style="26" customWidth="1"/>
    <col min="14" max="14" width="12.33203125" style="26" customWidth="1"/>
    <col min="15" max="16" width="10" style="26" bestFit="1" customWidth="1"/>
    <col min="17" max="17" width="11.6640625" style="26" customWidth="1"/>
    <col min="18" max="18" width="10.83203125" style="26" bestFit="1" customWidth="1"/>
    <col min="19" max="16384" width="8.83203125" style="26"/>
  </cols>
  <sheetData>
    <row r="1" spans="1:18" x14ac:dyDescent="0.2">
      <c r="A1" s="25" t="s">
        <v>80</v>
      </c>
    </row>
    <row r="3" spans="1:18" x14ac:dyDescent="0.2">
      <c r="E3" s="27" t="s">
        <v>25</v>
      </c>
      <c r="F3" s="28">
        <v>46388</v>
      </c>
      <c r="G3" s="28">
        <v>46419</v>
      </c>
      <c r="H3" s="28">
        <v>46447</v>
      </c>
      <c r="I3" s="28">
        <v>46478</v>
      </c>
      <c r="J3" s="28">
        <v>46508</v>
      </c>
      <c r="K3" s="28">
        <v>46539</v>
      </c>
      <c r="L3" s="28">
        <v>46569</v>
      </c>
      <c r="M3" s="28">
        <v>46600</v>
      </c>
      <c r="N3" s="28">
        <v>46631</v>
      </c>
      <c r="O3" s="28">
        <v>46661</v>
      </c>
      <c r="P3" s="28">
        <v>46692</v>
      </c>
      <c r="Q3" s="28">
        <v>46722</v>
      </c>
      <c r="R3" s="27" t="s">
        <v>26</v>
      </c>
    </row>
    <row r="4" spans="1:18" x14ac:dyDescent="0.2">
      <c r="B4" s="25" t="s">
        <v>81</v>
      </c>
    </row>
    <row r="5" spans="1:18" x14ac:dyDescent="0.2">
      <c r="B5" s="29" t="s">
        <v>82</v>
      </c>
      <c r="F5" s="93">
        <f>'2. SalesPlan'!K13</f>
        <v>39.950000000000003</v>
      </c>
      <c r="G5" s="93">
        <f>'2. SalesPlan'!K14</f>
        <v>102.85309090909092</v>
      </c>
      <c r="H5" s="93">
        <f>'2. SalesPlan'!K15</f>
        <v>228.43845818181819</v>
      </c>
      <c r="I5" s="93">
        <f>'2. SalesPlan'!K16</f>
        <v>340.11948218181823</v>
      </c>
      <c r="J5" s="93">
        <f>'2. SalesPlan'!K17</f>
        <v>515.4079257599999</v>
      </c>
      <c r="K5" s="93">
        <f>'2. SalesPlan'!K18</f>
        <v>762.22298879999994</v>
      </c>
      <c r="L5" s="93">
        <f>'2. SalesPlan'!K19</f>
        <v>1035.7085971814399</v>
      </c>
      <c r="M5" s="93">
        <f>'2. SalesPlan'!K20</f>
        <v>1327.5424373492733</v>
      </c>
      <c r="N5" s="93">
        <f>'2. SalesPlan'!K21</f>
        <v>1641.9940556418842</v>
      </c>
      <c r="O5" s="93">
        <f>'2. SalesPlan'!K22</f>
        <v>1975.1112404933699</v>
      </c>
      <c r="P5" s="93">
        <f>'2. SalesPlan'!K23</f>
        <v>2329.9801282083872</v>
      </c>
      <c r="Q5" s="93">
        <f>'2. SalesPlan'!K24</f>
        <v>2865.139774497934</v>
      </c>
      <c r="R5" s="25">
        <f>SUM(F5:Q5)</f>
        <v>13164.468179205014</v>
      </c>
    </row>
    <row r="6" spans="1:18" x14ac:dyDescent="0.2">
      <c r="B6" s="30" t="s">
        <v>83</v>
      </c>
      <c r="E6" s="31"/>
      <c r="F6" s="93">
        <f>'2. SalesPlan'!J34</f>
        <v>62.5</v>
      </c>
      <c r="G6" s="93">
        <f>'2. SalesPlan'!J35</f>
        <v>150</v>
      </c>
      <c r="H6" s="93">
        <f>'2. SalesPlan'!J36</f>
        <v>312.00000000000006</v>
      </c>
      <c r="I6" s="93">
        <f>'2. SalesPlan'!J37</f>
        <v>436.8</v>
      </c>
      <c r="J6" s="93">
        <f>'2. SalesPlan'!J38</f>
        <v>624.62400000000002</v>
      </c>
      <c r="K6" s="93">
        <f>'2. SalesPlan'!J39</f>
        <v>874.47359999999992</v>
      </c>
      <c r="L6" s="93">
        <f>'2. SalesPlan'!J40</f>
        <v>1128.0709439999998</v>
      </c>
      <c r="M6" s="93">
        <f>'2. SalesPlan'!J41</f>
        <v>1376.2465516799998</v>
      </c>
      <c r="N6" s="93">
        <f>'2. SalesPlan'!J42</f>
        <v>1623.9709309823998</v>
      </c>
      <c r="O6" s="93">
        <f>'2. SalesPlan'!J43</f>
        <v>1867.5665706297593</v>
      </c>
      <c r="P6" s="93">
        <f>'2. SalesPlan'!J44</f>
        <v>2110.3502248116279</v>
      </c>
      <c r="Q6" s="93">
        <f>'2. SalesPlan'!J45</f>
        <v>2490.2132652777209</v>
      </c>
      <c r="R6" s="25">
        <f>SUM(F6:Q6)</f>
        <v>13056.816087381507</v>
      </c>
    </row>
    <row r="7" spans="1:18" x14ac:dyDescent="0.2">
      <c r="B7" s="29" t="s">
        <v>84</v>
      </c>
      <c r="F7" s="93">
        <f>'2. SalesPlan'!I59</f>
        <v>100</v>
      </c>
      <c r="G7" s="93">
        <f>'2. SalesPlan'!I60</f>
        <v>150</v>
      </c>
      <c r="H7" s="93">
        <f>'2. SalesPlan'!I61</f>
        <v>200</v>
      </c>
      <c r="I7" s="93">
        <f>'2. SalesPlan'!I62</f>
        <v>250</v>
      </c>
      <c r="J7" s="93">
        <f>'2. SalesPlan'!I63</f>
        <v>300</v>
      </c>
      <c r="K7" s="93">
        <f>'2. SalesPlan'!I64</f>
        <v>350</v>
      </c>
      <c r="L7" s="93">
        <f>'2. SalesPlan'!I65</f>
        <v>400</v>
      </c>
      <c r="M7" s="93">
        <f>'2. SalesPlan'!I66</f>
        <v>450</v>
      </c>
      <c r="N7" s="93">
        <f>'2. SalesPlan'!I67</f>
        <v>500</v>
      </c>
      <c r="O7" s="93">
        <f>'2. SalesPlan'!I68</f>
        <v>550</v>
      </c>
      <c r="P7" s="93">
        <f>'2. SalesPlan'!I69</f>
        <v>600</v>
      </c>
      <c r="Q7" s="93">
        <f>'2. SalesPlan'!I70</f>
        <v>650</v>
      </c>
      <c r="R7" s="25">
        <f>SUM(F7:Q7)</f>
        <v>4500</v>
      </c>
    </row>
    <row r="8" spans="1:18" x14ac:dyDescent="0.2">
      <c r="B8" s="101" t="s">
        <v>85</v>
      </c>
      <c r="C8" s="94"/>
      <c r="D8" s="94"/>
      <c r="E8" s="27"/>
      <c r="F8" s="102">
        <f>SUM(F5:F7)</f>
        <v>202.45</v>
      </c>
      <c r="G8" s="102">
        <f t="shared" ref="G8:Q8" si="0">SUM(G5:G7)</f>
        <v>402.85309090909095</v>
      </c>
      <c r="H8" s="102">
        <f t="shared" si="0"/>
        <v>740.43845818181831</v>
      </c>
      <c r="I8" s="102">
        <f t="shared" si="0"/>
        <v>1026.9194821818182</v>
      </c>
      <c r="J8" s="102">
        <f t="shared" si="0"/>
        <v>1440.0319257599999</v>
      </c>
      <c r="K8" s="102">
        <f t="shared" si="0"/>
        <v>1986.6965888</v>
      </c>
      <c r="L8" s="102">
        <f t="shared" si="0"/>
        <v>2563.7795411814395</v>
      </c>
      <c r="M8" s="102">
        <f t="shared" si="0"/>
        <v>3153.7889890292731</v>
      </c>
      <c r="N8" s="102">
        <f t="shared" si="0"/>
        <v>3765.9649866242839</v>
      </c>
      <c r="O8" s="102">
        <f t="shared" si="0"/>
        <v>4392.6778111231288</v>
      </c>
      <c r="P8" s="102">
        <f t="shared" si="0"/>
        <v>5040.3303530200155</v>
      </c>
      <c r="Q8" s="102">
        <f t="shared" si="0"/>
        <v>6005.3530397756549</v>
      </c>
      <c r="R8" s="96">
        <f>SUM(R5:R7)</f>
        <v>30721.284266586521</v>
      </c>
    </row>
    <row r="9" spans="1:18" x14ac:dyDescent="0.2"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</row>
    <row r="10" spans="1:18" x14ac:dyDescent="0.2">
      <c r="B10" s="25" t="s">
        <v>86</v>
      </c>
      <c r="C10" s="32"/>
      <c r="E10" s="26" t="s">
        <v>87</v>
      </c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</row>
    <row r="11" spans="1:18" x14ac:dyDescent="0.2">
      <c r="B11" s="29" t="s">
        <v>88</v>
      </c>
      <c r="C11" s="32"/>
      <c r="E11" s="26" t="s">
        <v>87</v>
      </c>
      <c r="F11" s="92">
        <v>0</v>
      </c>
      <c r="G11" s="92">
        <v>0</v>
      </c>
      <c r="H11" s="92">
        <v>100</v>
      </c>
      <c r="I11" s="92">
        <v>100</v>
      </c>
      <c r="J11" s="92">
        <v>100</v>
      </c>
      <c r="K11" s="92">
        <v>100</v>
      </c>
      <c r="L11" s="92">
        <v>100</v>
      </c>
      <c r="M11" s="92">
        <v>100</v>
      </c>
      <c r="N11" s="92">
        <v>100</v>
      </c>
      <c r="O11" s="92">
        <v>100</v>
      </c>
      <c r="P11" s="92">
        <v>100</v>
      </c>
      <c r="Q11" s="92">
        <v>100</v>
      </c>
      <c r="R11" s="97">
        <f>SUM(F11:Q11)</f>
        <v>1000</v>
      </c>
    </row>
    <row r="12" spans="1:18" x14ac:dyDescent="0.2">
      <c r="B12" s="29" t="s">
        <v>89</v>
      </c>
      <c r="C12" s="32"/>
      <c r="F12" s="95">
        <f>0.025*F5</f>
        <v>0.99875000000000014</v>
      </c>
      <c r="G12" s="95">
        <f t="shared" ref="G12:Q12" si="1">0.025*G5</f>
        <v>2.5713272727272733</v>
      </c>
      <c r="H12" s="95">
        <f t="shared" si="1"/>
        <v>5.7109614545454548</v>
      </c>
      <c r="I12" s="95">
        <f t="shared" si="1"/>
        <v>8.5029870545454553</v>
      </c>
      <c r="J12" s="95">
        <f t="shared" si="1"/>
        <v>12.885198143999999</v>
      </c>
      <c r="K12" s="95">
        <f t="shared" si="1"/>
        <v>19.055574719999999</v>
      </c>
      <c r="L12" s="95">
        <f t="shared" si="1"/>
        <v>25.892714929535998</v>
      </c>
      <c r="M12" s="95">
        <f t="shared" si="1"/>
        <v>33.188560933731836</v>
      </c>
      <c r="N12" s="95">
        <f t="shared" si="1"/>
        <v>41.049851391047106</v>
      </c>
      <c r="O12" s="95">
        <f t="shared" si="1"/>
        <v>49.377781012334253</v>
      </c>
      <c r="P12" s="95">
        <f t="shared" si="1"/>
        <v>58.249503205209685</v>
      </c>
      <c r="Q12" s="95">
        <f t="shared" si="1"/>
        <v>71.62849436244835</v>
      </c>
      <c r="R12" s="97">
        <f>SUM(F12:Q12)</f>
        <v>329.11170448012541</v>
      </c>
    </row>
    <row r="13" spans="1:18" x14ac:dyDescent="0.2">
      <c r="B13" s="101" t="s">
        <v>90</v>
      </c>
      <c r="C13" s="103"/>
      <c r="D13" s="94"/>
      <c r="E13" s="94"/>
      <c r="F13" s="104">
        <f>SUM(F11,F12)</f>
        <v>0.99875000000000014</v>
      </c>
      <c r="G13" s="104">
        <f t="shared" ref="G13:Q13" si="2">SUM(G11,G12)</f>
        <v>2.5713272727272733</v>
      </c>
      <c r="H13" s="104">
        <f t="shared" si="2"/>
        <v>105.71096145454545</v>
      </c>
      <c r="I13" s="104">
        <f t="shared" si="2"/>
        <v>108.50298705454546</v>
      </c>
      <c r="J13" s="104">
        <f t="shared" si="2"/>
        <v>112.885198144</v>
      </c>
      <c r="K13" s="104">
        <f t="shared" si="2"/>
        <v>119.05557472</v>
      </c>
      <c r="L13" s="104">
        <f t="shared" si="2"/>
        <v>125.892714929536</v>
      </c>
      <c r="M13" s="104">
        <f t="shared" si="2"/>
        <v>133.18856093373182</v>
      </c>
      <c r="N13" s="104">
        <f t="shared" si="2"/>
        <v>141.0498513910471</v>
      </c>
      <c r="O13" s="104">
        <f t="shared" si="2"/>
        <v>149.37778101233425</v>
      </c>
      <c r="P13" s="104">
        <f t="shared" si="2"/>
        <v>158.24950320520969</v>
      </c>
      <c r="Q13" s="104">
        <f t="shared" si="2"/>
        <v>171.62849436244835</v>
      </c>
      <c r="R13" s="105">
        <f>SUM(R11:R12)</f>
        <v>1329.1117044801254</v>
      </c>
    </row>
    <row r="14" spans="1:18" x14ac:dyDescent="0.2">
      <c r="B14" s="98" t="s">
        <v>91</v>
      </c>
      <c r="C14" s="32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7">
        <f>R8-R13</f>
        <v>29392.172562106396</v>
      </c>
    </row>
    <row r="15" spans="1:18" x14ac:dyDescent="0.2">
      <c r="B15" s="98" t="s">
        <v>92</v>
      </c>
      <c r="C15" s="32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106">
        <f>R14/R8</f>
        <v>0.95673645369293003</v>
      </c>
    </row>
    <row r="16" spans="1:18" x14ac:dyDescent="0.2">
      <c r="B16" s="25" t="s">
        <v>93</v>
      </c>
      <c r="C16" s="3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</row>
    <row r="17" spans="1:18" x14ac:dyDescent="0.2">
      <c r="B17" s="29" t="s">
        <v>94</v>
      </c>
      <c r="C17" s="32"/>
      <c r="E17" s="26" t="s">
        <v>87</v>
      </c>
      <c r="F17" s="92">
        <f>'1.Hiring Plan'!H11</f>
        <v>1320</v>
      </c>
      <c r="G17" s="92">
        <f>'1.Hiring Plan'!I11</f>
        <v>1320</v>
      </c>
      <c r="H17" s="92">
        <f>'1.Hiring Plan'!J11</f>
        <v>1320</v>
      </c>
      <c r="I17" s="92">
        <f>'1.Hiring Plan'!K11</f>
        <v>1320</v>
      </c>
      <c r="J17" s="92">
        <f>'1.Hiring Plan'!L11</f>
        <v>1320</v>
      </c>
      <c r="K17" s="92">
        <f>'1.Hiring Plan'!M11</f>
        <v>1320</v>
      </c>
      <c r="L17" s="92">
        <f>'1.Hiring Plan'!N11</f>
        <v>1320</v>
      </c>
      <c r="M17" s="92">
        <f>'1.Hiring Plan'!O11</f>
        <v>1320</v>
      </c>
      <c r="N17" s="92">
        <f>'1.Hiring Plan'!P11</f>
        <v>1320</v>
      </c>
      <c r="O17" s="92">
        <f>'1.Hiring Plan'!Q11</f>
        <v>1320</v>
      </c>
      <c r="P17" s="92">
        <f>'1.Hiring Plan'!R11</f>
        <v>1320</v>
      </c>
      <c r="Q17" s="92">
        <f>'1.Hiring Plan'!S11</f>
        <v>1320</v>
      </c>
      <c r="R17" s="97">
        <f>'1.Hiring Plan'!T11</f>
        <v>15840</v>
      </c>
    </row>
    <row r="18" spans="1:18" x14ac:dyDescent="0.2">
      <c r="B18" s="29" t="s">
        <v>95</v>
      </c>
      <c r="C18" s="32"/>
      <c r="E18" s="26" t="s">
        <v>87</v>
      </c>
      <c r="F18" s="92">
        <v>333</v>
      </c>
      <c r="G18" s="92">
        <v>333</v>
      </c>
      <c r="H18" s="92">
        <v>333</v>
      </c>
      <c r="I18" s="92">
        <v>333</v>
      </c>
      <c r="J18" s="92">
        <v>333</v>
      </c>
      <c r="K18" s="92">
        <v>333</v>
      </c>
      <c r="L18" s="92">
        <v>333</v>
      </c>
      <c r="M18" s="92">
        <v>333</v>
      </c>
      <c r="N18" s="92">
        <v>333</v>
      </c>
      <c r="O18" s="92">
        <v>335</v>
      </c>
      <c r="P18" s="92">
        <v>334</v>
      </c>
      <c r="Q18" s="92">
        <v>334</v>
      </c>
      <c r="R18" s="97">
        <f>SUM(F18:Q18)</f>
        <v>4000</v>
      </c>
    </row>
    <row r="19" spans="1:18" x14ac:dyDescent="0.2">
      <c r="B19" s="29" t="s">
        <v>96</v>
      </c>
      <c r="C19" s="32"/>
      <c r="F19" s="92">
        <v>0</v>
      </c>
      <c r="G19" s="92">
        <v>0</v>
      </c>
      <c r="H19" s="92">
        <f>'1.Hiring Plan'!J13</f>
        <v>300</v>
      </c>
      <c r="I19" s="92">
        <f>'1.Hiring Plan'!K13</f>
        <v>300</v>
      </c>
      <c r="J19" s="92">
        <f>'1.Hiring Plan'!L13</f>
        <v>300</v>
      </c>
      <c r="K19" s="92">
        <f>'1.Hiring Plan'!M13</f>
        <v>300</v>
      </c>
      <c r="L19" s="92">
        <f>'1.Hiring Plan'!N13</f>
        <v>300</v>
      </c>
      <c r="M19" s="92">
        <f>'1.Hiring Plan'!O13</f>
        <v>300</v>
      </c>
      <c r="N19" s="92">
        <f>'1.Hiring Plan'!P13</f>
        <v>300</v>
      </c>
      <c r="O19" s="92">
        <f>'1.Hiring Plan'!Q13</f>
        <v>300</v>
      </c>
      <c r="P19" s="92">
        <f>'1.Hiring Plan'!R13</f>
        <v>300</v>
      </c>
      <c r="Q19" s="92">
        <f>'1.Hiring Plan'!S13</f>
        <v>300</v>
      </c>
      <c r="R19" s="97">
        <f>SUM(F19:Q19)</f>
        <v>3000</v>
      </c>
    </row>
    <row r="20" spans="1:18" x14ac:dyDescent="0.2">
      <c r="B20" s="29" t="s">
        <v>97</v>
      </c>
      <c r="C20" s="32"/>
      <c r="F20" s="92">
        <v>750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0</v>
      </c>
      <c r="Q20" s="92">
        <v>0</v>
      </c>
      <c r="R20" s="97">
        <f>SUM(F20:Q20)</f>
        <v>750</v>
      </c>
    </row>
    <row r="21" spans="1:18" x14ac:dyDescent="0.2">
      <c r="B21" s="101" t="s">
        <v>98</v>
      </c>
      <c r="C21" s="103"/>
      <c r="D21" s="94"/>
      <c r="E21" s="94"/>
      <c r="F21" s="105">
        <f t="shared" ref="F21:Q21" si="3">SUM(F17:F19)</f>
        <v>1653</v>
      </c>
      <c r="G21" s="105">
        <f t="shared" si="3"/>
        <v>1653</v>
      </c>
      <c r="H21" s="105">
        <f t="shared" si="3"/>
        <v>1953</v>
      </c>
      <c r="I21" s="105">
        <f t="shared" si="3"/>
        <v>1953</v>
      </c>
      <c r="J21" s="105">
        <f t="shared" si="3"/>
        <v>1953</v>
      </c>
      <c r="K21" s="105">
        <f t="shared" si="3"/>
        <v>1953</v>
      </c>
      <c r="L21" s="105">
        <f t="shared" si="3"/>
        <v>1953</v>
      </c>
      <c r="M21" s="105">
        <f t="shared" si="3"/>
        <v>1953</v>
      </c>
      <c r="N21" s="105">
        <f t="shared" si="3"/>
        <v>1953</v>
      </c>
      <c r="O21" s="105">
        <f t="shared" si="3"/>
        <v>1955</v>
      </c>
      <c r="P21" s="105">
        <f t="shared" si="3"/>
        <v>1954</v>
      </c>
      <c r="Q21" s="105">
        <f t="shared" si="3"/>
        <v>1954</v>
      </c>
      <c r="R21" s="105">
        <f>SUM(R17:R20)</f>
        <v>23590</v>
      </c>
    </row>
    <row r="22" spans="1:18" x14ac:dyDescent="0.2">
      <c r="B22" s="98" t="s">
        <v>99</v>
      </c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</row>
    <row r="23" spans="1:18" x14ac:dyDescent="0.2">
      <c r="B23" s="29" t="s">
        <v>100</v>
      </c>
      <c r="F23" s="92">
        <v>0</v>
      </c>
      <c r="G23" s="92">
        <v>0</v>
      </c>
      <c r="H23" s="92">
        <v>250</v>
      </c>
      <c r="I23" s="92">
        <v>250</v>
      </c>
      <c r="J23" s="92">
        <v>500</v>
      </c>
      <c r="K23" s="92">
        <v>500</v>
      </c>
      <c r="L23" s="92">
        <v>500</v>
      </c>
      <c r="M23" s="92">
        <v>500</v>
      </c>
      <c r="N23" s="92">
        <v>500</v>
      </c>
      <c r="O23" s="92">
        <v>500</v>
      </c>
      <c r="P23" s="92">
        <v>500</v>
      </c>
      <c r="Q23" s="92">
        <v>500</v>
      </c>
      <c r="R23" s="25">
        <f>SUM(F23:Q23)</f>
        <v>4500</v>
      </c>
    </row>
    <row r="24" spans="1:18" x14ac:dyDescent="0.2">
      <c r="A24" s="33"/>
      <c r="B24" s="101" t="s">
        <v>101</v>
      </c>
      <c r="C24" s="94"/>
      <c r="D24" s="94"/>
      <c r="E24" s="94"/>
      <c r="F24" s="107">
        <f>SUM(F23)</f>
        <v>0</v>
      </c>
      <c r="G24" s="107">
        <f t="shared" ref="G24:Q24" si="4">SUM(G23)</f>
        <v>0</v>
      </c>
      <c r="H24" s="107">
        <f t="shared" si="4"/>
        <v>250</v>
      </c>
      <c r="I24" s="107">
        <f t="shared" si="4"/>
        <v>250</v>
      </c>
      <c r="J24" s="107">
        <f t="shared" si="4"/>
        <v>500</v>
      </c>
      <c r="K24" s="107">
        <f t="shared" si="4"/>
        <v>500</v>
      </c>
      <c r="L24" s="107">
        <f t="shared" si="4"/>
        <v>500</v>
      </c>
      <c r="M24" s="107">
        <f t="shared" si="4"/>
        <v>500</v>
      </c>
      <c r="N24" s="107">
        <f t="shared" si="4"/>
        <v>500</v>
      </c>
      <c r="O24" s="107">
        <f t="shared" si="4"/>
        <v>500</v>
      </c>
      <c r="P24" s="107">
        <f t="shared" si="4"/>
        <v>500</v>
      </c>
      <c r="Q24" s="107">
        <f t="shared" si="4"/>
        <v>500</v>
      </c>
      <c r="R24" s="27">
        <f>SUM(R23)</f>
        <v>4500</v>
      </c>
    </row>
    <row r="25" spans="1:18" x14ac:dyDescent="0.2">
      <c r="A25" s="33"/>
      <c r="B25" s="25" t="s">
        <v>102</v>
      </c>
      <c r="R25" s="99">
        <f>SUM(R13,R21,R24)</f>
        <v>29419.111704480125</v>
      </c>
    </row>
    <row r="26" spans="1:18" x14ac:dyDescent="0.2">
      <c r="A26" s="33"/>
      <c r="B26" s="25"/>
      <c r="R26" s="25"/>
    </row>
    <row r="27" spans="1:18" x14ac:dyDescent="0.2">
      <c r="A27" s="33"/>
      <c r="B27" s="33" t="s">
        <v>103</v>
      </c>
      <c r="F27" s="26">
        <f>F8-F13-F21-F23</f>
        <v>-1451.5487499999999</v>
      </c>
      <c r="G27" s="26">
        <f t="shared" ref="G27:Q27" si="5">G8-G13-G21-G23</f>
        <v>-1252.7182363636364</v>
      </c>
      <c r="H27" s="26">
        <f t="shared" si="5"/>
        <v>-1568.2725032727271</v>
      </c>
      <c r="I27" s="26">
        <f t="shared" si="5"/>
        <v>-1284.5835048727272</v>
      </c>
      <c r="J27" s="26">
        <f t="shared" si="5"/>
        <v>-1125.8532723840001</v>
      </c>
      <c r="K27" s="26">
        <f t="shared" si="5"/>
        <v>-585.35898592000012</v>
      </c>
      <c r="L27" s="26">
        <f t="shared" si="5"/>
        <v>-15.113173748096415</v>
      </c>
      <c r="M27" s="26">
        <f t="shared" si="5"/>
        <v>567.60042809554125</v>
      </c>
      <c r="N27" s="26">
        <f t="shared" si="5"/>
        <v>1171.9151352332369</v>
      </c>
      <c r="O27" s="26">
        <f t="shared" si="5"/>
        <v>1788.300030110795</v>
      </c>
      <c r="P27" s="26">
        <f t="shared" si="5"/>
        <v>2428.0808498148062</v>
      </c>
      <c r="Q27" s="26">
        <f t="shared" si="5"/>
        <v>3379.7245454132062</v>
      </c>
    </row>
    <row r="28" spans="1:18" x14ac:dyDescent="0.2">
      <c r="B28" s="100" t="s">
        <v>104</v>
      </c>
      <c r="D28" s="25"/>
      <c r="R28" s="27">
        <f>SUM(R8,-R25)</f>
        <v>1302.1725621063961</v>
      </c>
    </row>
    <row r="29" spans="1:18" x14ac:dyDescent="0.2">
      <c r="B29" s="34"/>
    </row>
    <row r="30" spans="1:18" x14ac:dyDescent="0.2">
      <c r="B30" s="34"/>
      <c r="C30" s="34"/>
    </row>
    <row r="31" spans="1:18" x14ac:dyDescent="0.2">
      <c r="B31" s="34"/>
    </row>
    <row r="32" spans="1:18" x14ac:dyDescent="0.2">
      <c r="B32" s="34"/>
    </row>
    <row r="33" spans="2:3" x14ac:dyDescent="0.2">
      <c r="B33" s="34"/>
    </row>
    <row r="34" spans="2:3" x14ac:dyDescent="0.2">
      <c r="B34" s="35"/>
      <c r="C34" s="34"/>
    </row>
    <row r="35" spans="2:3" x14ac:dyDescent="0.2">
      <c r="B35" s="69"/>
      <c r="C35" s="35"/>
    </row>
    <row r="36" spans="2:3" x14ac:dyDescent="0.2">
      <c r="C36" s="34"/>
    </row>
    <row r="37" spans="2:3" x14ac:dyDescent="0.2">
      <c r="B37" s="33"/>
      <c r="C37" s="34"/>
    </row>
    <row r="38" spans="2:3" x14ac:dyDescent="0.2">
      <c r="B38" s="34"/>
    </row>
    <row r="39" spans="2:3" x14ac:dyDescent="0.2">
      <c r="B39" s="34"/>
    </row>
    <row r="40" spans="2:3" x14ac:dyDescent="0.2">
      <c r="B40" s="34"/>
      <c r="C40" s="34"/>
    </row>
    <row r="41" spans="2:3" x14ac:dyDescent="0.2">
      <c r="B41" s="34"/>
      <c r="C41" s="34"/>
    </row>
    <row r="42" spans="2:3" x14ac:dyDescent="0.2">
      <c r="B42" s="34"/>
    </row>
    <row r="43" spans="2:3" x14ac:dyDescent="0.2">
      <c r="B43" s="34"/>
      <c r="C43" s="35"/>
    </row>
    <row r="44" spans="2:3" x14ac:dyDescent="0.2">
      <c r="B44" s="34"/>
    </row>
    <row r="45" spans="2:3" x14ac:dyDescent="0.2">
      <c r="B45" s="34"/>
    </row>
    <row r="46" spans="2:3" x14ac:dyDescent="0.2">
      <c r="B46" s="35"/>
    </row>
    <row r="47" spans="2:3" x14ac:dyDescent="0.2">
      <c r="B47" s="69"/>
    </row>
    <row r="48" spans="2:3" x14ac:dyDescent="0.2">
      <c r="B48" s="25"/>
    </row>
    <row r="49" spans="2:3" x14ac:dyDescent="0.2">
      <c r="B49" s="29"/>
      <c r="C49" s="34"/>
    </row>
    <row r="50" spans="2:3" x14ac:dyDescent="0.2">
      <c r="B50" s="29"/>
    </row>
    <row r="51" spans="2:3" x14ac:dyDescent="0.2">
      <c r="B51" s="29"/>
    </row>
    <row r="52" spans="2:3" x14ac:dyDescent="0.2">
      <c r="B52" s="69"/>
    </row>
    <row r="53" spans="2:3" x14ac:dyDescent="0.2">
      <c r="B53" s="33"/>
    </row>
    <row r="54" spans="2:3" x14ac:dyDescent="0.2">
      <c r="B54" s="34"/>
    </row>
    <row r="55" spans="2:3" x14ac:dyDescent="0.2">
      <c r="B55" s="29"/>
    </row>
    <row r="56" spans="2:3" x14ac:dyDescent="0.2">
      <c r="B56" s="29"/>
    </row>
    <row r="57" spans="2:3" x14ac:dyDescent="0.2">
      <c r="B57" s="29"/>
      <c r="C57" s="34"/>
    </row>
    <row r="58" spans="2:3" x14ac:dyDescent="0.2">
      <c r="B58" s="34"/>
      <c r="C58" s="34"/>
    </row>
    <row r="59" spans="2:3" x14ac:dyDescent="0.2">
      <c r="B59" s="29"/>
    </row>
    <row r="60" spans="2:3" x14ac:dyDescent="0.2">
      <c r="B60" s="29"/>
    </row>
    <row r="61" spans="2:3" x14ac:dyDescent="0.2">
      <c r="B61" s="29"/>
    </row>
    <row r="62" spans="2:3" x14ac:dyDescent="0.2">
      <c r="B62" s="29"/>
    </row>
    <row r="63" spans="2:3" x14ac:dyDescent="0.2">
      <c r="B63" s="29"/>
    </row>
    <row r="64" spans="2:3" x14ac:dyDescent="0.2">
      <c r="B64" s="29"/>
    </row>
    <row r="65" spans="2:4" x14ac:dyDescent="0.2">
      <c r="B65" s="34"/>
    </row>
    <row r="66" spans="2:4" x14ac:dyDescent="0.2">
      <c r="B66" s="29"/>
    </row>
    <row r="67" spans="2:4" x14ac:dyDescent="0.2">
      <c r="B67" s="29"/>
    </row>
    <row r="68" spans="2:4" x14ac:dyDescent="0.2">
      <c r="B68" s="29"/>
    </row>
    <row r="69" spans="2:4" x14ac:dyDescent="0.2">
      <c r="B69" s="29"/>
    </row>
    <row r="70" spans="2:4" x14ac:dyDescent="0.2">
      <c r="B70" s="34"/>
    </row>
    <row r="71" spans="2:4" x14ac:dyDescent="0.2">
      <c r="B71" s="35"/>
    </row>
    <row r="72" spans="2:4" x14ac:dyDescent="0.2">
      <c r="B72" s="69"/>
    </row>
    <row r="73" spans="2:4" x14ac:dyDescent="0.2">
      <c r="B73" s="33"/>
    </row>
    <row r="74" spans="2:4" x14ac:dyDescent="0.2">
      <c r="B74" s="69"/>
    </row>
    <row r="75" spans="2:4" x14ac:dyDescent="0.2">
      <c r="B75" s="1"/>
      <c r="C75" s="1"/>
      <c r="D75" s="1"/>
    </row>
    <row r="76" spans="2:4" x14ac:dyDescent="0.2">
      <c r="B76" s="37"/>
      <c r="D76" s="1"/>
    </row>
    <row r="77" spans="2:4" x14ac:dyDescent="0.2">
      <c r="B77" s="37"/>
      <c r="D77" s="1"/>
    </row>
    <row r="78" spans="2:4" x14ac:dyDescent="0.2">
      <c r="B78" s="37"/>
      <c r="D78" s="1"/>
    </row>
    <row r="79" spans="2:4" x14ac:dyDescent="0.2">
      <c r="B79" s="37"/>
      <c r="C79" s="1"/>
      <c r="D79" s="1"/>
    </row>
    <row r="80" spans="2:4" x14ac:dyDescent="0.2">
      <c r="B80" s="36"/>
      <c r="C80" s="1"/>
      <c r="D80" s="1"/>
    </row>
    <row r="81" spans="2:4" x14ac:dyDescent="0.2">
      <c r="B81" s="69"/>
      <c r="C81" s="1"/>
      <c r="D81" s="1"/>
    </row>
    <row r="82" spans="2:4" x14ac:dyDescent="0.2">
      <c r="B82" s="36"/>
      <c r="C82" s="1"/>
      <c r="D82" s="1"/>
    </row>
    <row r="83" spans="2:4" x14ac:dyDescent="0.2">
      <c r="B83" s="69"/>
      <c r="C83" s="1"/>
      <c r="D83" s="1"/>
    </row>
    <row r="84" spans="2:4" x14ac:dyDescent="0.2">
      <c r="B84" s="1"/>
      <c r="C84" s="1"/>
      <c r="D84" s="1"/>
    </row>
    <row r="85" spans="2:4" x14ac:dyDescent="0.2">
      <c r="B85" s="1"/>
      <c r="D85" s="1"/>
    </row>
    <row r="86" spans="2:4" x14ac:dyDescent="0.2">
      <c r="C86" s="1"/>
      <c r="D86" s="1"/>
    </row>
    <row r="87" spans="2:4" x14ac:dyDescent="0.2">
      <c r="B87" s="1"/>
      <c r="C87" s="1"/>
      <c r="D87" s="1"/>
    </row>
    <row r="88" spans="2:4" x14ac:dyDescent="0.2">
      <c r="C88" s="1"/>
      <c r="D88" s="1"/>
    </row>
  </sheetData>
  <pageMargins left="0.7" right="0.7" top="0.75" bottom="0.75" header="0.3" footer="0.3"/>
  <pageSetup orientation="portrait" horizontalDpi="4294967294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1"/>
  <sheetViews>
    <sheetView topLeftCell="C1" workbookViewId="0">
      <selection activeCell="Q21" sqref="Q21"/>
    </sheetView>
  </sheetViews>
  <sheetFormatPr baseColWidth="10" defaultColWidth="9.1640625" defaultRowHeight="15" x14ac:dyDescent="0.2"/>
  <cols>
    <col min="1" max="1" width="15.33203125" customWidth="1"/>
    <col min="2" max="2" width="39.1640625" customWidth="1"/>
    <col min="5" max="5" width="13.33203125" customWidth="1"/>
    <col min="6" max="11" width="11.33203125" bestFit="1" customWidth="1"/>
    <col min="12" max="16" width="12.5" bestFit="1" customWidth="1"/>
    <col min="17" max="17" width="13.5" bestFit="1" customWidth="1"/>
  </cols>
  <sheetData>
    <row r="1" spans="1:18" s="59" customFormat="1" x14ac:dyDescent="0.2">
      <c r="A1" s="59" t="s">
        <v>105</v>
      </c>
    </row>
    <row r="2" spans="1:18" s="59" customFormat="1" x14ac:dyDescent="0.2">
      <c r="A2" s="59" t="s">
        <v>106</v>
      </c>
    </row>
    <row r="4" spans="1:18" x14ac:dyDescent="0.2">
      <c r="B4" s="45" t="s">
        <v>107</v>
      </c>
      <c r="D4" s="27" t="str">
        <f>'3. Profit &amp; Loss (Income)'!E3</f>
        <v>Month:</v>
      </c>
      <c r="E4" s="49">
        <f>'3. Profit &amp; Loss (Income)'!F3</f>
        <v>46388</v>
      </c>
      <c r="F4" s="49">
        <f>'3. Profit &amp; Loss (Income)'!G3</f>
        <v>46419</v>
      </c>
      <c r="G4" s="49">
        <f>'3. Profit &amp; Loss (Income)'!H3</f>
        <v>46447</v>
      </c>
      <c r="H4" s="49">
        <f>'3. Profit &amp; Loss (Income)'!I3</f>
        <v>46478</v>
      </c>
      <c r="I4" s="49">
        <f>'3. Profit &amp; Loss (Income)'!J3</f>
        <v>46508</v>
      </c>
      <c r="J4" s="49">
        <f>'3. Profit &amp; Loss (Income)'!K3</f>
        <v>46539</v>
      </c>
      <c r="K4" s="49">
        <f>'3. Profit &amp; Loss (Income)'!L3</f>
        <v>46569</v>
      </c>
      <c r="L4" s="49">
        <f>'3. Profit &amp; Loss (Income)'!M3</f>
        <v>46600</v>
      </c>
      <c r="M4" s="49">
        <f>'3. Profit &amp; Loss (Income)'!N3</f>
        <v>46631</v>
      </c>
      <c r="N4" s="49">
        <f>'3. Profit &amp; Loss (Income)'!O3</f>
        <v>46661</v>
      </c>
      <c r="O4" s="49">
        <f>'3. Profit &amp; Loss (Income)'!P3</f>
        <v>46692</v>
      </c>
      <c r="P4" s="49">
        <f>'3. Profit &amp; Loss (Income)'!Q3</f>
        <v>46722</v>
      </c>
      <c r="Q4" s="108" t="s">
        <v>26</v>
      </c>
    </row>
    <row r="5" spans="1:18" x14ac:dyDescent="0.2">
      <c r="B5" s="26" t="s">
        <v>108</v>
      </c>
      <c r="E5" s="112">
        <v>15000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2"/>
    </row>
    <row r="6" spans="1:18" x14ac:dyDescent="0.2">
      <c r="B6" s="26" t="s">
        <v>109</v>
      </c>
      <c r="E6" s="112">
        <v>0</v>
      </c>
      <c r="F6" s="112">
        <f t="shared" ref="F6:Q6" si="0">E28</f>
        <v>8451.4512500000001</v>
      </c>
      <c r="G6" s="112">
        <f t="shared" si="0"/>
        <v>2851.7330136363635</v>
      </c>
      <c r="H6" s="112">
        <f t="shared" si="0"/>
        <v>2936.4605103636363</v>
      </c>
      <c r="I6" s="112">
        <f t="shared" si="0"/>
        <v>3304.8770054909091</v>
      </c>
      <c r="J6" s="112">
        <f t="shared" si="0"/>
        <v>3832.0237331069093</v>
      </c>
      <c r="K6" s="112">
        <f t="shared" si="0"/>
        <v>4899.6647471869092</v>
      </c>
      <c r="L6" s="112">
        <f t="shared" si="0"/>
        <v>6537.5515734388127</v>
      </c>
      <c r="M6" s="112">
        <f t="shared" si="0"/>
        <v>8758.152001534354</v>
      </c>
      <c r="N6" s="112">
        <f t="shared" si="0"/>
        <v>11583.067136767591</v>
      </c>
      <c r="O6" s="112">
        <f t="shared" si="0"/>
        <v>15026.367166878386</v>
      </c>
      <c r="P6" s="112">
        <f t="shared" si="0"/>
        <v>19108.448016693193</v>
      </c>
      <c r="Q6" s="112">
        <f t="shared" si="0"/>
        <v>24142.1725621064</v>
      </c>
      <c r="R6" s="45" t="s">
        <v>110</v>
      </c>
    </row>
    <row r="7" spans="1:18" x14ac:dyDescent="0.2">
      <c r="B7" s="26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</row>
    <row r="8" spans="1:18" x14ac:dyDescent="0.2">
      <c r="B8" s="45" t="s">
        <v>111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</row>
    <row r="9" spans="1:18" x14ac:dyDescent="0.2">
      <c r="B9" s="26" t="s">
        <v>112</v>
      </c>
      <c r="E9" s="112">
        <f>'3. Profit &amp; Loss (Income)'!F5</f>
        <v>39.950000000000003</v>
      </c>
      <c r="F9" s="112">
        <f>'3. Profit &amp; Loss (Income)'!G5</f>
        <v>102.85309090909092</v>
      </c>
      <c r="G9" s="112">
        <f>'3. Profit &amp; Loss (Income)'!H5</f>
        <v>228.43845818181819</v>
      </c>
      <c r="H9" s="112">
        <f>'3. Profit &amp; Loss (Income)'!I5</f>
        <v>340.11948218181823</v>
      </c>
      <c r="I9" s="112">
        <f>'3. Profit &amp; Loss (Income)'!J5</f>
        <v>515.4079257599999</v>
      </c>
      <c r="J9" s="112">
        <f>'3. Profit &amp; Loss (Income)'!K5</f>
        <v>762.22298879999994</v>
      </c>
      <c r="K9" s="112">
        <f>'3. Profit &amp; Loss (Income)'!L5</f>
        <v>1035.7085971814399</v>
      </c>
      <c r="L9" s="112">
        <f>'3. Profit &amp; Loss (Income)'!M5</f>
        <v>1327.5424373492733</v>
      </c>
      <c r="M9" s="112">
        <f>'3. Profit &amp; Loss (Income)'!N5</f>
        <v>1641.9940556418842</v>
      </c>
      <c r="N9" s="112">
        <f>'3. Profit &amp; Loss (Income)'!O5</f>
        <v>1975.1112404933699</v>
      </c>
      <c r="O9" s="112">
        <f>'3. Profit &amp; Loss (Income)'!P5</f>
        <v>2329.9801282083872</v>
      </c>
      <c r="P9" s="112">
        <f>'3. Profit &amp; Loss (Income)'!Q5</f>
        <v>2865.139774497934</v>
      </c>
      <c r="Q9" s="112">
        <f>'3. Profit &amp; Loss (Income)'!R5</f>
        <v>13164.468179205014</v>
      </c>
    </row>
    <row r="10" spans="1:18" x14ac:dyDescent="0.2">
      <c r="B10" s="26" t="s">
        <v>113</v>
      </c>
      <c r="E10" s="112">
        <f>'3. Profit &amp; Loss (Income)'!F6</f>
        <v>62.5</v>
      </c>
      <c r="F10" s="112">
        <f>'3. Profit &amp; Loss (Income)'!G6</f>
        <v>150</v>
      </c>
      <c r="G10" s="112">
        <f>'3. Profit &amp; Loss (Income)'!H6</f>
        <v>312.00000000000006</v>
      </c>
      <c r="H10" s="112">
        <f>'3. Profit &amp; Loss (Income)'!I6</f>
        <v>436.8</v>
      </c>
      <c r="I10" s="112">
        <f>'3. Profit &amp; Loss (Income)'!J6</f>
        <v>624.62400000000002</v>
      </c>
      <c r="J10" s="112">
        <f>'3. Profit &amp; Loss (Income)'!K6</f>
        <v>874.47359999999992</v>
      </c>
      <c r="K10" s="112">
        <f>'3. Profit &amp; Loss (Income)'!L6</f>
        <v>1128.0709439999998</v>
      </c>
      <c r="L10" s="112">
        <f>'3. Profit &amp; Loss (Income)'!M6</f>
        <v>1376.2465516799998</v>
      </c>
      <c r="M10" s="112">
        <f>'3. Profit &amp; Loss (Income)'!N6</f>
        <v>1623.9709309823998</v>
      </c>
      <c r="N10" s="112">
        <f>'3. Profit &amp; Loss (Income)'!O6</f>
        <v>1867.5665706297593</v>
      </c>
      <c r="O10" s="112">
        <f>'3. Profit &amp; Loss (Income)'!P6</f>
        <v>2110.3502248116279</v>
      </c>
      <c r="P10" s="112">
        <f>'3. Profit &amp; Loss (Income)'!Q6</f>
        <v>2490.2132652777209</v>
      </c>
      <c r="Q10" s="112">
        <f>'3. Profit &amp; Loss (Income)'!R6</f>
        <v>13056.816087381507</v>
      </c>
    </row>
    <row r="11" spans="1:18" x14ac:dyDescent="0.2">
      <c r="B11" s="26" t="s">
        <v>114</v>
      </c>
      <c r="E11" s="112">
        <f>'3. Profit &amp; Loss (Income)'!F7</f>
        <v>100</v>
      </c>
      <c r="F11" s="112">
        <f>'3. Profit &amp; Loss (Income)'!G7</f>
        <v>150</v>
      </c>
      <c r="G11" s="112">
        <f>'3. Profit &amp; Loss (Income)'!H7</f>
        <v>200</v>
      </c>
      <c r="H11" s="112">
        <f>'3. Profit &amp; Loss (Income)'!I7</f>
        <v>250</v>
      </c>
      <c r="I11" s="112">
        <f>'3. Profit &amp; Loss (Income)'!J7</f>
        <v>300</v>
      </c>
      <c r="J11" s="112">
        <f>'3. Profit &amp; Loss (Income)'!K7</f>
        <v>350</v>
      </c>
      <c r="K11" s="112">
        <f>'3. Profit &amp; Loss (Income)'!L7</f>
        <v>400</v>
      </c>
      <c r="L11" s="112">
        <f>'3. Profit &amp; Loss (Income)'!M7</f>
        <v>450</v>
      </c>
      <c r="M11" s="112">
        <f>'3. Profit &amp; Loss (Income)'!N7</f>
        <v>500</v>
      </c>
      <c r="N11" s="112">
        <f>'3. Profit &amp; Loss (Income)'!O7</f>
        <v>550</v>
      </c>
      <c r="O11" s="112">
        <f>'3. Profit &amp; Loss (Income)'!P7</f>
        <v>600</v>
      </c>
      <c r="P11" s="112">
        <f>'3. Profit &amp; Loss (Income)'!Q7</f>
        <v>650</v>
      </c>
      <c r="Q11" s="112">
        <f>'3. Profit &amp; Loss (Income)'!R7</f>
        <v>4500</v>
      </c>
    </row>
    <row r="12" spans="1:18" x14ac:dyDescent="0.2">
      <c r="B12" s="25" t="s">
        <v>115</v>
      </c>
      <c r="E12" s="113">
        <f>SUM(E9:E11)</f>
        <v>202.45</v>
      </c>
      <c r="F12" s="113">
        <f t="shared" ref="F12:P12" si="1">SUM(F9:F11)</f>
        <v>402.85309090909095</v>
      </c>
      <c r="G12" s="113">
        <f t="shared" si="1"/>
        <v>740.43845818181831</v>
      </c>
      <c r="H12" s="113">
        <f t="shared" si="1"/>
        <v>1026.9194821818182</v>
      </c>
      <c r="I12" s="113">
        <f t="shared" si="1"/>
        <v>1440.0319257599999</v>
      </c>
      <c r="J12" s="113">
        <f t="shared" si="1"/>
        <v>1986.6965888</v>
      </c>
      <c r="K12" s="113">
        <f t="shared" si="1"/>
        <v>2563.7795411814395</v>
      </c>
      <c r="L12" s="113">
        <f t="shared" si="1"/>
        <v>3153.7889890292731</v>
      </c>
      <c r="M12" s="113">
        <f t="shared" si="1"/>
        <v>3765.9649866242839</v>
      </c>
      <c r="N12" s="113">
        <f t="shared" si="1"/>
        <v>4392.6778111231288</v>
      </c>
      <c r="O12" s="113">
        <f t="shared" si="1"/>
        <v>5040.3303530200155</v>
      </c>
      <c r="P12" s="113">
        <f t="shared" si="1"/>
        <v>6005.3530397756549</v>
      </c>
      <c r="Q12" s="113">
        <f>SUM(Q9:Q11)</f>
        <v>30721.284266586521</v>
      </c>
    </row>
    <row r="13" spans="1:18" x14ac:dyDescent="0.2">
      <c r="B13" s="26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</row>
    <row r="14" spans="1:18" x14ac:dyDescent="0.2">
      <c r="B14" s="45" t="s">
        <v>116</v>
      </c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</row>
    <row r="15" spans="1:18" x14ac:dyDescent="0.2">
      <c r="B15" s="26" t="s">
        <v>117</v>
      </c>
      <c r="E15" s="112">
        <v>0</v>
      </c>
      <c r="F15" s="112">
        <v>0</v>
      </c>
      <c r="G15" s="112">
        <v>0</v>
      </c>
      <c r="H15" s="112">
        <v>0</v>
      </c>
      <c r="I15" s="112">
        <v>0</v>
      </c>
      <c r="J15" s="112">
        <v>0</v>
      </c>
      <c r="K15" s="112">
        <v>0</v>
      </c>
      <c r="L15" s="112">
        <v>0</v>
      </c>
      <c r="M15" s="112">
        <v>0</v>
      </c>
      <c r="N15" s="112">
        <v>0</v>
      </c>
      <c r="O15" s="112">
        <v>0</v>
      </c>
      <c r="P15" s="112">
        <v>0</v>
      </c>
      <c r="Q15" s="112">
        <v>0</v>
      </c>
    </row>
    <row r="16" spans="1:18" x14ac:dyDescent="0.2">
      <c r="B16" s="26" t="s">
        <v>96</v>
      </c>
      <c r="E16" s="112">
        <f>'3. Profit &amp; Loss (Income)'!F19</f>
        <v>0</v>
      </c>
      <c r="F16" s="112">
        <f>'3. Profit &amp; Loss (Income)'!G19</f>
        <v>0</v>
      </c>
      <c r="G16" s="112">
        <f>'3. Profit &amp; Loss (Income)'!H19</f>
        <v>300</v>
      </c>
      <c r="H16" s="112">
        <f>'3. Profit &amp; Loss (Income)'!I19</f>
        <v>300</v>
      </c>
      <c r="I16" s="112">
        <f>'3. Profit &amp; Loss (Income)'!J19</f>
        <v>300</v>
      </c>
      <c r="J16" s="112">
        <f>'3. Profit &amp; Loss (Income)'!K19</f>
        <v>300</v>
      </c>
      <c r="K16" s="112">
        <f>'3. Profit &amp; Loss (Income)'!L19</f>
        <v>300</v>
      </c>
      <c r="L16" s="112">
        <f>'3. Profit &amp; Loss (Income)'!M19</f>
        <v>300</v>
      </c>
      <c r="M16" s="112">
        <f>'3. Profit &amp; Loss (Income)'!N19</f>
        <v>300</v>
      </c>
      <c r="N16" s="112">
        <f>'3. Profit &amp; Loss (Income)'!O19</f>
        <v>300</v>
      </c>
      <c r="O16" s="112">
        <f>'3. Profit &amp; Loss (Income)'!P19</f>
        <v>300</v>
      </c>
      <c r="P16" s="112">
        <f>'3. Profit &amp; Loss (Income)'!Q19</f>
        <v>300</v>
      </c>
      <c r="Q16" s="112">
        <f>'3. Profit &amp; Loss (Income)'!R19</f>
        <v>3000</v>
      </c>
    </row>
    <row r="17" spans="2:18" x14ac:dyDescent="0.2">
      <c r="B17" s="26" t="s">
        <v>97</v>
      </c>
      <c r="E17" s="112">
        <f>'3. Profit &amp; Loss (Income)'!F20</f>
        <v>750</v>
      </c>
      <c r="F17" s="112">
        <f>'3. Profit &amp; Loss (Income)'!G20</f>
        <v>0</v>
      </c>
      <c r="G17" s="112">
        <f>'3. Profit &amp; Loss (Income)'!H20</f>
        <v>0</v>
      </c>
      <c r="H17" s="112">
        <f>'3. Profit &amp; Loss (Income)'!I20</f>
        <v>0</v>
      </c>
      <c r="I17" s="112">
        <f>'3. Profit &amp; Loss (Income)'!J20</f>
        <v>0</v>
      </c>
      <c r="J17" s="112">
        <f>'3. Profit &amp; Loss (Income)'!K20</f>
        <v>0</v>
      </c>
      <c r="K17" s="112">
        <f>'3. Profit &amp; Loss (Income)'!L20</f>
        <v>0</v>
      </c>
      <c r="L17" s="112">
        <f>'3. Profit &amp; Loss (Income)'!M20</f>
        <v>0</v>
      </c>
      <c r="M17" s="112">
        <f>'3. Profit &amp; Loss (Income)'!N20</f>
        <v>0</v>
      </c>
      <c r="N17" s="112">
        <f>'3. Profit &amp; Loss (Income)'!O20</f>
        <v>0</v>
      </c>
      <c r="O17" s="112">
        <f>'3. Profit &amp; Loss (Income)'!P20</f>
        <v>0</v>
      </c>
      <c r="P17" s="112">
        <f>'3. Profit &amp; Loss (Income)'!Q20</f>
        <v>0</v>
      </c>
      <c r="Q17" s="112">
        <f>'3. Profit &amp; Loss (Income)'!R20</f>
        <v>750</v>
      </c>
    </row>
    <row r="18" spans="2:18" x14ac:dyDescent="0.2">
      <c r="B18" s="26" t="s">
        <v>88</v>
      </c>
      <c r="E18" s="112">
        <f>'3. Profit &amp; Loss (Income)'!F11</f>
        <v>0</v>
      </c>
      <c r="F18" s="112">
        <f>'3. Profit &amp; Loss (Income)'!G11</f>
        <v>0</v>
      </c>
      <c r="G18" s="112">
        <f>'3. Profit &amp; Loss (Income)'!H11</f>
        <v>100</v>
      </c>
      <c r="H18" s="112">
        <f>'3. Profit &amp; Loss (Income)'!I11</f>
        <v>100</v>
      </c>
      <c r="I18" s="112">
        <f>'3. Profit &amp; Loss (Income)'!J11</f>
        <v>100</v>
      </c>
      <c r="J18" s="112">
        <f>'3. Profit &amp; Loss (Income)'!K11</f>
        <v>100</v>
      </c>
      <c r="K18" s="112">
        <f>'3. Profit &amp; Loss (Income)'!L11</f>
        <v>100</v>
      </c>
      <c r="L18" s="112">
        <f>'3. Profit &amp; Loss (Income)'!M11</f>
        <v>100</v>
      </c>
      <c r="M18" s="112">
        <f>'3. Profit &amp; Loss (Income)'!N11</f>
        <v>100</v>
      </c>
      <c r="N18" s="112">
        <f>'3. Profit &amp; Loss (Income)'!O11</f>
        <v>100</v>
      </c>
      <c r="O18" s="112">
        <f>'3. Profit &amp; Loss (Income)'!P11</f>
        <v>100</v>
      </c>
      <c r="P18" s="112">
        <f>'3. Profit &amp; Loss (Income)'!Q11</f>
        <v>100</v>
      </c>
      <c r="Q18" s="112">
        <f>'3. Profit &amp; Loss (Income)'!R11</f>
        <v>1000</v>
      </c>
    </row>
    <row r="19" spans="2:18" x14ac:dyDescent="0.2">
      <c r="B19" s="26" t="s">
        <v>89</v>
      </c>
      <c r="E19" s="114">
        <f>'3. Profit &amp; Loss (Income)'!F12</f>
        <v>0.99875000000000014</v>
      </c>
      <c r="F19" s="114">
        <f>'3. Profit &amp; Loss (Income)'!G12</f>
        <v>2.5713272727272733</v>
      </c>
      <c r="G19" s="114">
        <f>'3. Profit &amp; Loss (Income)'!H12</f>
        <v>5.7109614545454548</v>
      </c>
      <c r="H19" s="114">
        <f>'3. Profit &amp; Loss (Income)'!I12</f>
        <v>8.5029870545454553</v>
      </c>
      <c r="I19" s="114">
        <f>'3. Profit &amp; Loss (Income)'!J12</f>
        <v>12.885198143999999</v>
      </c>
      <c r="J19" s="114">
        <f>'3. Profit &amp; Loss (Income)'!K12</f>
        <v>19.055574719999999</v>
      </c>
      <c r="K19" s="114">
        <f>'3. Profit &amp; Loss (Income)'!L12</f>
        <v>25.892714929535998</v>
      </c>
      <c r="L19" s="114">
        <f>'3. Profit &amp; Loss (Income)'!M12</f>
        <v>33.188560933731836</v>
      </c>
      <c r="M19" s="114">
        <f>'3. Profit &amp; Loss (Income)'!N12</f>
        <v>41.049851391047106</v>
      </c>
      <c r="N19" s="114">
        <f>'3. Profit &amp; Loss (Income)'!O12</f>
        <v>49.377781012334253</v>
      </c>
      <c r="O19" s="114">
        <f>'3. Profit &amp; Loss (Income)'!P12</f>
        <v>58.249503205209685</v>
      </c>
      <c r="P19" s="114">
        <f>'3. Profit &amp; Loss (Income)'!Q12</f>
        <v>71.62849436244835</v>
      </c>
      <c r="Q19" s="114">
        <f>'3. Profit &amp; Loss (Income)'!R12</f>
        <v>329.11170448012541</v>
      </c>
    </row>
    <row r="20" spans="2:18" x14ac:dyDescent="0.2">
      <c r="B20" s="26" t="s">
        <v>100</v>
      </c>
      <c r="E20" s="112">
        <f>'3. Profit &amp; Loss (Income)'!F23</f>
        <v>0</v>
      </c>
      <c r="F20" s="112">
        <f>'3. Profit &amp; Loss (Income)'!G23</f>
        <v>0</v>
      </c>
      <c r="G20" s="112">
        <f>'3. Profit &amp; Loss (Income)'!H23</f>
        <v>250</v>
      </c>
      <c r="H20" s="112">
        <f>'3. Profit &amp; Loss (Income)'!I23</f>
        <v>250</v>
      </c>
      <c r="I20" s="112">
        <f>'3. Profit &amp; Loss (Income)'!J23</f>
        <v>500</v>
      </c>
      <c r="J20" s="112">
        <f>'3. Profit &amp; Loss (Income)'!K23</f>
        <v>500</v>
      </c>
      <c r="K20" s="112">
        <f>'3. Profit &amp; Loss (Income)'!L23</f>
        <v>500</v>
      </c>
      <c r="L20" s="112">
        <f>'3. Profit &amp; Loss (Income)'!M23</f>
        <v>500</v>
      </c>
      <c r="M20" s="112">
        <f>'3. Profit &amp; Loss (Income)'!N23</f>
        <v>500</v>
      </c>
      <c r="N20" s="112">
        <f>'3. Profit &amp; Loss (Income)'!O23</f>
        <v>500</v>
      </c>
      <c r="O20" s="112">
        <f>'3. Profit &amp; Loss (Income)'!P23</f>
        <v>500</v>
      </c>
      <c r="P20" s="112">
        <f>'3. Profit &amp; Loss (Income)'!Q23</f>
        <v>500</v>
      </c>
      <c r="Q20" s="112">
        <f>'3. Profit &amp; Loss (Income)'!R23</f>
        <v>4500</v>
      </c>
    </row>
    <row r="21" spans="2:18" x14ac:dyDescent="0.2">
      <c r="B21" s="25" t="s">
        <v>118</v>
      </c>
      <c r="E21" s="113">
        <f>SUM(E15:E20)</f>
        <v>750.99874999999997</v>
      </c>
      <c r="F21" s="113">
        <f t="shared" ref="F21:Q21" si="2">SUM(F15:F20)</f>
        <v>2.5713272727272733</v>
      </c>
      <c r="G21" s="113">
        <f t="shared" si="2"/>
        <v>655.71096145454544</v>
      </c>
      <c r="H21" s="113">
        <f t="shared" si="2"/>
        <v>658.50298705454543</v>
      </c>
      <c r="I21" s="113">
        <f t="shared" si="2"/>
        <v>912.88519814400001</v>
      </c>
      <c r="J21" s="113">
        <f t="shared" si="2"/>
        <v>919.05557471999998</v>
      </c>
      <c r="K21" s="113">
        <f t="shared" si="2"/>
        <v>925.89271492953594</v>
      </c>
      <c r="L21" s="113">
        <f t="shared" si="2"/>
        <v>933.18856093373188</v>
      </c>
      <c r="M21" s="113">
        <f t="shared" si="2"/>
        <v>941.04985139104713</v>
      </c>
      <c r="N21" s="113">
        <f t="shared" si="2"/>
        <v>949.37778101233425</v>
      </c>
      <c r="O21" s="113">
        <f t="shared" si="2"/>
        <v>958.24950320520975</v>
      </c>
      <c r="P21" s="113">
        <f t="shared" si="2"/>
        <v>971.62849436244835</v>
      </c>
      <c r="Q21" s="113">
        <f t="shared" si="2"/>
        <v>9579.1117044801249</v>
      </c>
    </row>
    <row r="22" spans="2:18" x14ac:dyDescent="0.2">
      <c r="B22" s="25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</row>
    <row r="23" spans="2:18" x14ac:dyDescent="0.2">
      <c r="B23" s="45" t="s">
        <v>119</v>
      </c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</row>
    <row r="24" spans="2:18" x14ac:dyDescent="0.2">
      <c r="B24" s="117" t="s">
        <v>120</v>
      </c>
      <c r="E24" s="110">
        <v>-6000</v>
      </c>
      <c r="F24" s="110">
        <v>-6000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1">
        <f>SUM(E24:P24)</f>
        <v>-12000</v>
      </c>
      <c r="R24" s="110"/>
    </row>
    <row r="25" spans="2:18" x14ac:dyDescent="0.2">
      <c r="B25" s="117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</row>
    <row r="26" spans="2:18" x14ac:dyDescent="0.2">
      <c r="B26" s="45" t="s">
        <v>121</v>
      </c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</row>
    <row r="27" spans="2:18" x14ac:dyDescent="0.2">
      <c r="B27" s="26" t="s">
        <v>121</v>
      </c>
      <c r="E27" s="110">
        <f>E12-E21+E24</f>
        <v>-6548.5487499999999</v>
      </c>
      <c r="F27" s="110">
        <f t="shared" ref="F27:P27" si="3">F12-F21+F24</f>
        <v>-5599.7182363636366</v>
      </c>
      <c r="G27" s="110">
        <f t="shared" si="3"/>
        <v>84.727496727272865</v>
      </c>
      <c r="H27" s="110">
        <f t="shared" si="3"/>
        <v>368.41649512727281</v>
      </c>
      <c r="I27" s="110">
        <f t="shared" si="3"/>
        <v>527.14672761599991</v>
      </c>
      <c r="J27" s="110">
        <f t="shared" si="3"/>
        <v>1067.6410140799999</v>
      </c>
      <c r="K27" s="110">
        <f t="shared" si="3"/>
        <v>1637.8868262519036</v>
      </c>
      <c r="L27" s="110">
        <f t="shared" si="3"/>
        <v>2220.6004280955412</v>
      </c>
      <c r="M27" s="110">
        <f t="shared" si="3"/>
        <v>2824.9151352332369</v>
      </c>
      <c r="N27" s="110">
        <f t="shared" si="3"/>
        <v>3443.3000301107945</v>
      </c>
      <c r="O27" s="110">
        <f t="shared" si="3"/>
        <v>4082.0808498148058</v>
      </c>
      <c r="P27" s="110">
        <f t="shared" si="3"/>
        <v>5033.7245454132062</v>
      </c>
      <c r="Q27" s="111">
        <f>SUM(E27:P27)</f>
        <v>9142.1725621063979</v>
      </c>
      <c r="R27" s="110"/>
    </row>
    <row r="28" spans="2:18" x14ac:dyDescent="0.2">
      <c r="B28" s="25" t="s">
        <v>122</v>
      </c>
      <c r="E28" s="110">
        <f t="shared" ref="E28:P28" si="4">E5+E6+E27</f>
        <v>8451.4512500000001</v>
      </c>
      <c r="F28" s="110">
        <f t="shared" si="4"/>
        <v>2851.7330136363635</v>
      </c>
      <c r="G28" s="110">
        <f t="shared" si="4"/>
        <v>2936.4605103636363</v>
      </c>
      <c r="H28" s="110">
        <f t="shared" si="4"/>
        <v>3304.8770054909091</v>
      </c>
      <c r="I28" s="110">
        <f t="shared" si="4"/>
        <v>3832.0237331069093</v>
      </c>
      <c r="J28" s="110">
        <f t="shared" si="4"/>
        <v>4899.6647471869092</v>
      </c>
      <c r="K28" s="110">
        <f t="shared" si="4"/>
        <v>6537.5515734388127</v>
      </c>
      <c r="L28" s="110">
        <f t="shared" si="4"/>
        <v>8758.152001534354</v>
      </c>
      <c r="M28" s="110">
        <f t="shared" si="4"/>
        <v>11583.067136767591</v>
      </c>
      <c r="N28" s="110">
        <f t="shared" si="4"/>
        <v>15026.367166878386</v>
      </c>
      <c r="O28" s="110">
        <f t="shared" si="4"/>
        <v>19108.448016693193</v>
      </c>
      <c r="P28" s="110">
        <f t="shared" si="4"/>
        <v>24142.1725621064</v>
      </c>
      <c r="Q28" s="111">
        <f>P28</f>
        <v>24142.1725621064</v>
      </c>
      <c r="R28" s="110"/>
    </row>
    <row r="29" spans="2:18" x14ac:dyDescent="0.2"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</row>
    <row r="30" spans="2:18" ht="32" x14ac:dyDescent="0.2">
      <c r="B30" s="116" t="s">
        <v>123</v>
      </c>
      <c r="E30" s="110">
        <v>1320</v>
      </c>
      <c r="F30" s="110">
        <f>E30*2</f>
        <v>2640</v>
      </c>
      <c r="G30" s="110">
        <f>E30*3</f>
        <v>3960</v>
      </c>
      <c r="H30" s="110">
        <f>E30*4</f>
        <v>5280</v>
      </c>
      <c r="I30" s="110">
        <f>E30*5</f>
        <v>6600</v>
      </c>
      <c r="J30" s="110">
        <f>E30*6</f>
        <v>7920</v>
      </c>
      <c r="K30" s="110">
        <f>E30*7</f>
        <v>9240</v>
      </c>
      <c r="L30" s="110">
        <f>E30*8</f>
        <v>10560</v>
      </c>
      <c r="M30" s="110">
        <f>E30*9</f>
        <v>11880</v>
      </c>
      <c r="N30" s="110">
        <f>E30*10</f>
        <v>13200</v>
      </c>
      <c r="O30" s="110">
        <f>E30*11</f>
        <v>14520</v>
      </c>
      <c r="P30" s="110">
        <f>E30*12</f>
        <v>15840</v>
      </c>
      <c r="Q30" s="111">
        <f>P30</f>
        <v>15840</v>
      </c>
      <c r="R30" s="110"/>
    </row>
    <row r="31" spans="2:18" x14ac:dyDescent="0.2"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topLeftCell="A2" zoomScale="84" workbookViewId="0">
      <selection activeCell="G19" sqref="G19"/>
    </sheetView>
  </sheetViews>
  <sheetFormatPr baseColWidth="10" defaultColWidth="9.1640625" defaultRowHeight="15" x14ac:dyDescent="0.2"/>
  <cols>
    <col min="6" max="6" width="16.33203125" customWidth="1"/>
    <col min="7" max="7" width="22.5" customWidth="1"/>
  </cols>
  <sheetData>
    <row r="1" spans="1:7" x14ac:dyDescent="0.2">
      <c r="A1" t="s">
        <v>124</v>
      </c>
    </row>
    <row r="2" spans="1:7" x14ac:dyDescent="0.2">
      <c r="A2" t="s">
        <v>125</v>
      </c>
    </row>
    <row r="3" spans="1:7" x14ac:dyDescent="0.2">
      <c r="A3" t="s">
        <v>126</v>
      </c>
    </row>
    <row r="4" spans="1:7" x14ac:dyDescent="0.2">
      <c r="A4" s="50"/>
      <c r="B4" s="50"/>
      <c r="C4" s="50"/>
      <c r="D4" s="51"/>
      <c r="E4" s="52"/>
      <c r="F4" s="58" t="s">
        <v>127</v>
      </c>
      <c r="G4" s="58" t="s">
        <v>128</v>
      </c>
    </row>
    <row r="5" spans="1:7" x14ac:dyDescent="0.2">
      <c r="A5" s="50"/>
      <c r="B5" s="50"/>
      <c r="C5" s="50"/>
      <c r="D5" s="51"/>
      <c r="E5" s="51"/>
      <c r="F5" s="51"/>
      <c r="G5" s="51"/>
    </row>
    <row r="6" spans="1:7" x14ac:dyDescent="0.2">
      <c r="A6" s="51" t="s">
        <v>129</v>
      </c>
      <c r="B6" s="51"/>
      <c r="C6" s="51"/>
      <c r="D6" s="51"/>
      <c r="E6" s="51"/>
      <c r="F6" s="53"/>
      <c r="G6" s="53"/>
    </row>
    <row r="7" spans="1:7" x14ac:dyDescent="0.2">
      <c r="A7" s="51"/>
      <c r="B7" s="51" t="s">
        <v>130</v>
      </c>
      <c r="C7" s="51"/>
      <c r="D7" s="51"/>
      <c r="E7" s="51"/>
      <c r="F7" s="53"/>
      <c r="G7" s="53"/>
    </row>
    <row r="8" spans="1:7" x14ac:dyDescent="0.2">
      <c r="A8" s="51"/>
      <c r="B8" s="51"/>
      <c r="C8" s="51" t="s">
        <v>131</v>
      </c>
      <c r="D8" s="51"/>
      <c r="E8" s="51"/>
      <c r="F8" s="53">
        <f>'4. Cash-flow statement'!Q28</f>
        <v>24142.1725621064</v>
      </c>
      <c r="G8" s="53"/>
    </row>
    <row r="9" spans="1:7" x14ac:dyDescent="0.2">
      <c r="A9" s="51"/>
      <c r="B9" s="51"/>
      <c r="C9" s="51"/>
      <c r="D9" s="51"/>
      <c r="E9" s="51"/>
      <c r="F9" s="53"/>
      <c r="G9" s="53"/>
    </row>
    <row r="10" spans="1:7" x14ac:dyDescent="0.2">
      <c r="A10" s="51"/>
      <c r="B10" s="51"/>
      <c r="C10" s="51"/>
      <c r="D10" s="51"/>
      <c r="E10" s="51"/>
      <c r="F10" s="53"/>
      <c r="G10" s="53"/>
    </row>
    <row r="11" spans="1:7" x14ac:dyDescent="0.2">
      <c r="A11" s="51"/>
      <c r="B11" s="51"/>
      <c r="C11" s="51"/>
      <c r="D11" s="51"/>
      <c r="E11" s="51"/>
      <c r="F11" s="53"/>
      <c r="G11" s="53"/>
    </row>
    <row r="12" spans="1:7" ht="16" thickBot="1" x14ac:dyDescent="0.25">
      <c r="A12" s="51"/>
      <c r="B12" s="51"/>
      <c r="C12" s="51"/>
      <c r="D12" s="51"/>
      <c r="E12" s="51"/>
      <c r="F12" s="54"/>
      <c r="G12" s="54"/>
    </row>
    <row r="13" spans="1:7" x14ac:dyDescent="0.2">
      <c r="A13" s="51"/>
      <c r="B13" s="51" t="s">
        <v>132</v>
      </c>
      <c r="C13" s="51"/>
      <c r="D13" s="51"/>
      <c r="E13" s="53"/>
      <c r="F13" s="53">
        <f>SUM(F8:F12)</f>
        <v>24142.1725621064</v>
      </c>
      <c r="G13" s="53">
        <f>SUM(G8:G12)</f>
        <v>0</v>
      </c>
    </row>
    <row r="14" spans="1:7" x14ac:dyDescent="0.2">
      <c r="A14" s="51"/>
      <c r="B14" s="51"/>
      <c r="C14" s="51"/>
      <c r="D14" s="51"/>
      <c r="E14" s="53"/>
      <c r="F14" s="53"/>
      <c r="G14" s="53"/>
    </row>
    <row r="15" spans="1:7" x14ac:dyDescent="0.2">
      <c r="A15" s="51"/>
      <c r="B15" s="51" t="s">
        <v>133</v>
      </c>
      <c r="C15" s="51"/>
      <c r="D15" s="51"/>
      <c r="E15" s="55"/>
      <c r="F15" s="53"/>
      <c r="G15" s="53"/>
    </row>
    <row r="16" spans="1:7" x14ac:dyDescent="0.2">
      <c r="A16" s="51"/>
      <c r="B16" s="51"/>
      <c r="C16" s="51"/>
      <c r="D16" s="51"/>
      <c r="E16" s="55"/>
      <c r="F16" s="53">
        <f>'[1]10. Balance Sheet'!I13</f>
        <v>0</v>
      </c>
      <c r="G16" s="53">
        <f t="shared" ref="G16:G21" si="0">F16</f>
        <v>0</v>
      </c>
    </row>
    <row r="17" spans="1:7" x14ac:dyDescent="0.2">
      <c r="A17" s="51"/>
      <c r="B17" s="51"/>
      <c r="C17" s="51" t="s">
        <v>134</v>
      </c>
      <c r="D17" s="51"/>
      <c r="E17" s="53"/>
      <c r="F17" s="53">
        <v>12000</v>
      </c>
      <c r="G17" s="53"/>
    </row>
    <row r="18" spans="1:7" x14ac:dyDescent="0.2">
      <c r="A18" s="51"/>
      <c r="B18" s="51"/>
      <c r="C18" s="51"/>
      <c r="D18" s="51"/>
      <c r="E18" s="53"/>
      <c r="F18" s="53"/>
      <c r="G18" s="53">
        <f t="shared" si="0"/>
        <v>0</v>
      </c>
    </row>
    <row r="19" spans="1:7" x14ac:dyDescent="0.2">
      <c r="A19" s="51"/>
      <c r="B19" s="51"/>
      <c r="C19" s="51"/>
      <c r="D19" s="51"/>
      <c r="E19" s="55"/>
      <c r="F19" s="53"/>
      <c r="G19" s="53">
        <f t="shared" si="0"/>
        <v>0</v>
      </c>
    </row>
    <row r="20" spans="1:7" x14ac:dyDescent="0.2">
      <c r="A20" s="51"/>
      <c r="B20" s="51"/>
      <c r="C20" s="51"/>
      <c r="D20" s="51"/>
      <c r="E20" s="55"/>
      <c r="F20" s="53"/>
      <c r="G20" s="53">
        <f t="shared" si="0"/>
        <v>0</v>
      </c>
    </row>
    <row r="21" spans="1:7" x14ac:dyDescent="0.2">
      <c r="A21" s="51"/>
      <c r="B21" s="51"/>
      <c r="D21" s="51"/>
      <c r="E21" s="55"/>
      <c r="F21" s="53"/>
      <c r="G21" s="53">
        <f t="shared" si="0"/>
        <v>0</v>
      </c>
    </row>
    <row r="22" spans="1:7" ht="16" thickBot="1" x14ac:dyDescent="0.25">
      <c r="A22" s="51"/>
      <c r="B22" s="51"/>
      <c r="C22" s="51"/>
      <c r="D22" s="51"/>
      <c r="E22" s="53"/>
      <c r="F22" s="54"/>
      <c r="G22" s="54">
        <f>F22+'[1]13. Cash Flow Statement (2)'!Q12</f>
        <v>0</v>
      </c>
    </row>
    <row r="23" spans="1:7" x14ac:dyDescent="0.2">
      <c r="A23" s="51"/>
      <c r="B23" s="51" t="s">
        <v>135</v>
      </c>
      <c r="C23" s="51"/>
      <c r="D23" s="51"/>
      <c r="E23" s="53"/>
      <c r="F23" s="53">
        <f>SUM(F16:F22)</f>
        <v>12000</v>
      </c>
      <c r="G23" s="53">
        <f>SUM(G16:G22)</f>
        <v>0</v>
      </c>
    </row>
    <row r="24" spans="1:7" x14ac:dyDescent="0.2">
      <c r="A24" s="51"/>
      <c r="B24" s="51"/>
      <c r="C24" s="51"/>
      <c r="D24" s="51"/>
      <c r="E24" s="55"/>
      <c r="F24" s="53"/>
      <c r="G24" s="53"/>
    </row>
    <row r="25" spans="1:7" x14ac:dyDescent="0.2">
      <c r="A25" s="51"/>
      <c r="B25" s="51" t="s">
        <v>136</v>
      </c>
      <c r="C25" s="51"/>
      <c r="D25" s="51"/>
      <c r="E25" s="51"/>
      <c r="F25" s="53">
        <v>4000</v>
      </c>
      <c r="G25" s="53"/>
    </row>
    <row r="26" spans="1:7" ht="16" thickBot="1" x14ac:dyDescent="0.25">
      <c r="A26" s="51"/>
      <c r="B26" s="51"/>
      <c r="C26" s="51"/>
      <c r="D26" s="51"/>
      <c r="E26" s="51"/>
      <c r="F26" s="54"/>
      <c r="G26" s="54"/>
    </row>
    <row r="27" spans="1:7" ht="16" thickBot="1" x14ac:dyDescent="0.25">
      <c r="A27" s="50" t="s">
        <v>137</v>
      </c>
      <c r="B27" s="51"/>
      <c r="C27" s="51"/>
      <c r="D27" s="51"/>
      <c r="E27" s="51"/>
      <c r="F27" s="56">
        <f>INT(F13+F23-F25)</f>
        <v>32142</v>
      </c>
      <c r="G27" s="56">
        <f>INT(G13+G23-G25)</f>
        <v>0</v>
      </c>
    </row>
    <row r="28" spans="1:7" ht="16" thickTop="1" x14ac:dyDescent="0.2">
      <c r="A28" s="51"/>
      <c r="B28" s="51"/>
      <c r="C28" s="51"/>
      <c r="D28" s="51"/>
      <c r="E28" s="51"/>
      <c r="F28" s="53"/>
      <c r="G28" s="53"/>
    </row>
    <row r="29" spans="1:7" x14ac:dyDescent="0.2">
      <c r="A29" s="51"/>
      <c r="B29" s="51"/>
      <c r="C29" s="51"/>
      <c r="D29" s="51"/>
      <c r="E29" s="51"/>
      <c r="F29" s="53"/>
      <c r="G29" s="53"/>
    </row>
    <row r="30" spans="1:7" x14ac:dyDescent="0.2">
      <c r="A30" s="51"/>
      <c r="B30" s="51"/>
      <c r="C30" s="51"/>
      <c r="D30" s="51"/>
      <c r="E30" s="51"/>
      <c r="F30" s="53"/>
      <c r="G30" s="53"/>
    </row>
    <row r="31" spans="1:7" x14ac:dyDescent="0.2">
      <c r="A31" s="51" t="s">
        <v>138</v>
      </c>
      <c r="B31" s="51"/>
      <c r="C31" s="51"/>
      <c r="D31" s="51"/>
      <c r="E31" s="51"/>
      <c r="F31" s="53"/>
      <c r="G31" s="53"/>
    </row>
    <row r="32" spans="1:7" x14ac:dyDescent="0.2">
      <c r="A32" s="51"/>
      <c r="B32" s="51" t="s">
        <v>139</v>
      </c>
      <c r="C32" s="51"/>
      <c r="D32" s="51"/>
      <c r="E32" s="51"/>
      <c r="F32" s="53"/>
      <c r="G32" s="53"/>
    </row>
    <row r="33" spans="1:7" x14ac:dyDescent="0.2">
      <c r="A33" s="51"/>
      <c r="B33" s="51"/>
      <c r="C33" s="51" t="s">
        <v>140</v>
      </c>
      <c r="D33" s="51"/>
      <c r="E33" s="53"/>
      <c r="F33" s="53">
        <f>'3. Profit &amp; Loss (Income)'!R17</f>
        <v>15840</v>
      </c>
      <c r="G33" s="53"/>
    </row>
    <row r="34" spans="1:7" x14ac:dyDescent="0.2">
      <c r="A34" s="51"/>
      <c r="B34" s="51"/>
      <c r="C34" s="51"/>
      <c r="D34" s="51"/>
      <c r="E34" s="55"/>
      <c r="F34" s="53"/>
      <c r="G34" s="53">
        <f>'[1]20. Amoritization Schedule'!R16+'[1]7. Beginning Balance Sheet'!F31</f>
        <v>0</v>
      </c>
    </row>
    <row r="35" spans="1:7" x14ac:dyDescent="0.2">
      <c r="A35" s="51"/>
      <c r="B35" s="51"/>
      <c r="C35" s="51"/>
      <c r="D35" s="51"/>
      <c r="E35" s="51"/>
      <c r="F35" s="53"/>
      <c r="G35" s="53">
        <f>'[1]20. Amoritization Schedule'!R36+'[1]7. Beginning Balance Sheet'!F32</f>
        <v>0</v>
      </c>
    </row>
    <row r="36" spans="1:7" x14ac:dyDescent="0.2">
      <c r="A36" s="51"/>
      <c r="B36" s="51"/>
      <c r="C36" s="51"/>
      <c r="D36" s="51"/>
      <c r="E36" s="51"/>
      <c r="F36" s="53"/>
      <c r="G36" s="53">
        <f>'[1]20. Amoritization Schedule'!R56+'[1]7. Beginning Balance Sheet'!F33</f>
        <v>0</v>
      </c>
    </row>
    <row r="37" spans="1:7" x14ac:dyDescent="0.2">
      <c r="A37" s="51"/>
      <c r="B37" s="51"/>
      <c r="C37" s="51"/>
      <c r="D37" s="51"/>
      <c r="E37" s="51"/>
      <c r="F37" s="53"/>
      <c r="G37" s="53">
        <f>'[1]20. Amoritization Schedule'!R76+'[1]7. Beginning Balance Sheet'!F34</f>
        <v>0</v>
      </c>
    </row>
    <row r="38" spans="1:7" x14ac:dyDescent="0.2">
      <c r="A38" s="51"/>
      <c r="B38" s="51"/>
      <c r="C38" s="51"/>
      <c r="D38" s="51"/>
      <c r="E38" s="51"/>
      <c r="F38" s="53"/>
      <c r="G38" s="53">
        <f>'[1]20. Amoritization Schedule'!R96+'[1]7. Beginning Balance Sheet'!F35</f>
        <v>0</v>
      </c>
    </row>
    <row r="39" spans="1:7" ht="16" thickBot="1" x14ac:dyDescent="0.25">
      <c r="A39" s="51"/>
      <c r="B39" s="51"/>
      <c r="C39" s="51"/>
      <c r="D39" s="51"/>
      <c r="E39" s="51"/>
      <c r="F39" s="54"/>
      <c r="G39" s="54">
        <f>'[1]13. Cash Flow Statement (2)'!P35+'[1]7. Beginning Balance Sheet'!F33</f>
        <v>0</v>
      </c>
    </row>
    <row r="40" spans="1:7" x14ac:dyDescent="0.2">
      <c r="A40" s="51"/>
      <c r="B40" s="51" t="s">
        <v>141</v>
      </c>
      <c r="C40" s="51"/>
      <c r="D40" s="51"/>
      <c r="E40" s="51"/>
      <c r="F40" s="53">
        <f>SUM(F33:F39)</f>
        <v>15840</v>
      </c>
      <c r="G40" s="53">
        <f>SUM(G33:G39)</f>
        <v>0</v>
      </c>
    </row>
    <row r="41" spans="1:7" x14ac:dyDescent="0.2">
      <c r="A41" s="51"/>
      <c r="B41" s="51"/>
      <c r="C41" s="51"/>
      <c r="D41" s="51"/>
      <c r="E41" s="51"/>
      <c r="F41" s="57"/>
      <c r="G41" s="57"/>
    </row>
    <row r="42" spans="1:7" x14ac:dyDescent="0.2">
      <c r="A42" s="51"/>
      <c r="B42" s="51" t="s">
        <v>142</v>
      </c>
      <c r="C42" s="51"/>
      <c r="D42" s="51"/>
      <c r="E42" s="51"/>
      <c r="F42" s="57"/>
      <c r="G42" s="57"/>
    </row>
    <row r="43" spans="1:7" x14ac:dyDescent="0.2">
      <c r="A43" s="51"/>
      <c r="B43" s="51"/>
      <c r="C43" s="51" t="s">
        <v>143</v>
      </c>
      <c r="D43" s="51"/>
      <c r="E43" s="51"/>
      <c r="F43" s="57">
        <f>'4. Cash-flow statement'!E5</f>
        <v>15000</v>
      </c>
      <c r="G43" s="57"/>
    </row>
    <row r="44" spans="1:7" x14ac:dyDescent="0.2">
      <c r="A44" s="51"/>
      <c r="B44" s="51"/>
      <c r="C44" s="51" t="s">
        <v>144</v>
      </c>
      <c r="D44" s="51"/>
      <c r="E44" s="51"/>
      <c r="F44" s="57">
        <f>'3. Profit &amp; Loss (Income)'!R28</f>
        <v>1302.1725621063961</v>
      </c>
      <c r="G44" s="57"/>
    </row>
    <row r="45" spans="1:7" ht="16" thickBot="1" x14ac:dyDescent="0.25">
      <c r="A45" s="51"/>
      <c r="B45" s="51"/>
      <c r="C45" s="51"/>
      <c r="D45" s="51"/>
      <c r="E45" s="51"/>
      <c r="F45" s="54">
        <f>'[1]10. Balance Sheet'!I42</f>
        <v>0</v>
      </c>
      <c r="G45" s="54"/>
    </row>
    <row r="46" spans="1:7" x14ac:dyDescent="0.2">
      <c r="A46" s="51"/>
      <c r="B46" s="51" t="s">
        <v>145</v>
      </c>
      <c r="C46" s="51"/>
      <c r="D46" s="51"/>
      <c r="E46" s="51"/>
      <c r="F46" s="57">
        <f>F43+F44-F45</f>
        <v>16302.172562106396</v>
      </c>
      <c r="G46" s="57"/>
    </row>
    <row r="47" spans="1:7" ht="16" thickBot="1" x14ac:dyDescent="0.25">
      <c r="A47" s="51"/>
      <c r="B47" s="51"/>
      <c r="C47" s="51"/>
      <c r="D47" s="51"/>
      <c r="E47" s="51"/>
      <c r="F47" s="54"/>
      <c r="G47" s="54"/>
    </row>
    <row r="48" spans="1:7" ht="16" thickBot="1" x14ac:dyDescent="0.25">
      <c r="A48" s="50" t="s">
        <v>146</v>
      </c>
      <c r="B48" s="51"/>
      <c r="C48" s="51"/>
      <c r="D48" s="51"/>
      <c r="E48" s="51"/>
      <c r="F48" s="56">
        <f>INT(F40+F46)</f>
        <v>32142</v>
      </c>
      <c r="G48" s="56"/>
    </row>
    <row r="49" ht="16" thickTop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4"/>
  <sheetViews>
    <sheetView topLeftCell="A11" zoomScale="115" workbookViewId="0">
      <selection activeCell="I28" sqref="I28"/>
    </sheetView>
  </sheetViews>
  <sheetFormatPr baseColWidth="10" defaultColWidth="9.1640625" defaultRowHeight="15" x14ac:dyDescent="0.2"/>
  <cols>
    <col min="1" max="1" width="46.5" customWidth="1"/>
    <col min="2" max="2" width="11.83203125" customWidth="1"/>
    <col min="3" max="3" width="9.5" bestFit="1" customWidth="1"/>
  </cols>
  <sheetData>
    <row r="1" spans="1:2" s="59" customFormat="1" x14ac:dyDescent="0.2">
      <c r="A1" s="59" t="s">
        <v>147</v>
      </c>
    </row>
    <row r="2" spans="1:2" s="59" customFormat="1" x14ac:dyDescent="0.2">
      <c r="A2" s="59" t="s">
        <v>148</v>
      </c>
    </row>
    <row r="3" spans="1:2" s="59" customFormat="1" x14ac:dyDescent="0.2">
      <c r="A3" s="59" t="s">
        <v>149</v>
      </c>
    </row>
    <row r="6" spans="1:2" s="42" customFormat="1" x14ac:dyDescent="0.2">
      <c r="A6" s="42" t="s">
        <v>150</v>
      </c>
    </row>
    <row r="8" spans="1:2" x14ac:dyDescent="0.2">
      <c r="A8" s="45" t="s">
        <v>151</v>
      </c>
      <c r="B8" s="45" t="s">
        <v>152</v>
      </c>
    </row>
    <row r="9" spans="1:2" x14ac:dyDescent="0.2">
      <c r="B9" s="47"/>
    </row>
    <row r="10" spans="1:2" s="45" customFormat="1" x14ac:dyDescent="0.2">
      <c r="A10" s="45" t="s">
        <v>153</v>
      </c>
      <c r="B10" s="47">
        <f>'2. SalesPlan'!S8</f>
        <v>1992.1706122221765</v>
      </c>
    </row>
    <row r="11" spans="1:2" x14ac:dyDescent="0.2">
      <c r="A11" t="s">
        <v>154</v>
      </c>
      <c r="B11" s="47">
        <f>B10*0.6</f>
        <v>1195.3023673333059</v>
      </c>
    </row>
    <row r="12" spans="1:2" x14ac:dyDescent="0.2">
      <c r="A12" t="s">
        <v>155</v>
      </c>
      <c r="B12" s="47">
        <f>B10*0.4</f>
        <v>796.86824488887066</v>
      </c>
    </row>
    <row r="13" spans="1:2" x14ac:dyDescent="0.2">
      <c r="B13" s="47"/>
    </row>
    <row r="14" spans="1:2" x14ac:dyDescent="0.2">
      <c r="A14" s="45" t="s">
        <v>156</v>
      </c>
      <c r="B14" s="112">
        <f>'3. Profit &amp; Loss (Income)'!R23</f>
        <v>4500</v>
      </c>
    </row>
    <row r="15" spans="1:2" x14ac:dyDescent="0.2">
      <c r="A15" s="45" t="s">
        <v>157</v>
      </c>
      <c r="B15" s="110">
        <f>B14/B12</f>
        <v>5.6471066940652896</v>
      </c>
    </row>
    <row r="16" spans="1:2" s="45" customFormat="1" x14ac:dyDescent="0.2">
      <c r="A16" s="45" t="s">
        <v>158</v>
      </c>
      <c r="B16" s="110">
        <f>B14/B10</f>
        <v>2.2588426776261161</v>
      </c>
    </row>
    <row r="18" spans="1:6" s="45" customFormat="1" x14ac:dyDescent="0.2"/>
    <row r="19" spans="1:6" x14ac:dyDescent="0.2">
      <c r="A19" s="45" t="s">
        <v>159</v>
      </c>
    </row>
    <row r="20" spans="1:6" x14ac:dyDescent="0.2">
      <c r="B20" s="43"/>
    </row>
    <row r="21" spans="1:6" x14ac:dyDescent="0.2">
      <c r="A21" t="s">
        <v>160</v>
      </c>
      <c r="B21" s="47">
        <v>12</v>
      </c>
    </row>
    <row r="22" spans="1:6" x14ac:dyDescent="0.2">
      <c r="A22" t="s">
        <v>161</v>
      </c>
      <c r="B22" s="110">
        <f>'2. SalesPlan'!B18</f>
        <v>7.99</v>
      </c>
    </row>
    <row r="23" spans="1:6" x14ac:dyDescent="0.2">
      <c r="A23" t="s">
        <v>162</v>
      </c>
      <c r="B23" s="110">
        <f>B22*B21</f>
        <v>95.88</v>
      </c>
    </row>
    <row r="24" spans="1:6" s="45" customFormat="1" x14ac:dyDescent="0.2"/>
    <row r="25" spans="1:6" x14ac:dyDescent="0.2">
      <c r="A25" t="s">
        <v>163</v>
      </c>
      <c r="B25" s="110">
        <f>'2. SalesPlan'!B33*0.05</f>
        <v>1.25</v>
      </c>
      <c r="F25" s="109"/>
    </row>
    <row r="26" spans="1:6" x14ac:dyDescent="0.2">
      <c r="A26" t="s">
        <v>164</v>
      </c>
      <c r="B26" s="110">
        <f>'2. SalesPlan'!J70/B10</f>
        <v>2.2588426776261161</v>
      </c>
      <c r="F26" s="109"/>
    </row>
    <row r="27" spans="1:6" x14ac:dyDescent="0.2">
      <c r="B27" s="110"/>
      <c r="F27" s="109"/>
    </row>
    <row r="28" spans="1:6" s="45" customFormat="1" x14ac:dyDescent="0.2">
      <c r="A28" s="45" t="s">
        <v>165</v>
      </c>
    </row>
    <row r="29" spans="1:6" x14ac:dyDescent="0.2">
      <c r="A29" t="s">
        <v>166</v>
      </c>
      <c r="B29">
        <f>B23*0.18</f>
        <v>17.258399999999998</v>
      </c>
    </row>
    <row r="30" spans="1:6" x14ac:dyDescent="0.2">
      <c r="A30" t="s">
        <v>167</v>
      </c>
      <c r="B30">
        <f>B25</f>
        <v>1.25</v>
      </c>
    </row>
    <row r="31" spans="1:6" x14ac:dyDescent="0.2">
      <c r="A31" t="s">
        <v>168</v>
      </c>
      <c r="B31">
        <f>B26</f>
        <v>2.2588426776261161</v>
      </c>
    </row>
    <row r="32" spans="1:6" x14ac:dyDescent="0.2">
      <c r="A32" s="45" t="s">
        <v>169</v>
      </c>
      <c r="B32" s="45">
        <f>SUM(B29:B31)</f>
        <v>20.767242677626115</v>
      </c>
    </row>
    <row r="34" spans="1:17" x14ac:dyDescent="0.2">
      <c r="A34" s="45" t="s">
        <v>170</v>
      </c>
      <c r="B34" s="47">
        <f>B32/B16</f>
        <v>9.193753457611761</v>
      </c>
    </row>
    <row r="36" spans="1:17" x14ac:dyDescent="0.2">
      <c r="B36" s="46"/>
    </row>
    <row r="38" spans="1:17" x14ac:dyDescent="0.2">
      <c r="B38" s="44"/>
    </row>
    <row r="39" spans="1:17" x14ac:dyDescent="0.2">
      <c r="B39" s="44"/>
    </row>
    <row r="40" spans="1:17" x14ac:dyDescent="0.2">
      <c r="B40" s="44"/>
    </row>
    <row r="42" spans="1:17" x14ac:dyDescent="0.2">
      <c r="B42" s="47"/>
    </row>
    <row r="43" spans="1:17" x14ac:dyDescent="0.2">
      <c r="B43" s="47"/>
    </row>
    <row r="44" spans="1:17" x14ac:dyDescent="0.2">
      <c r="B44" s="44"/>
    </row>
    <row r="48" spans="1:17" s="45" customFormat="1" x14ac:dyDescent="0.2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</row>
    <row r="49" spans="1:17" x14ac:dyDescent="0.2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</row>
    <row r="51" spans="1:17" x14ac:dyDescent="0.2"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</row>
    <row r="52" spans="1:17" x14ac:dyDescent="0.2">
      <c r="Q52" s="44"/>
    </row>
    <row r="53" spans="1:17" x14ac:dyDescent="0.2">
      <c r="A53" s="45"/>
      <c r="B53" s="45"/>
      <c r="Q53" s="44"/>
    </row>
    <row r="54" spans="1:17" x14ac:dyDescent="0.2">
      <c r="A54" s="45"/>
      <c r="B54" s="45"/>
    </row>
  </sheetData>
  <pageMargins left="0.7" right="0.7" top="0.75" bottom="0.75" header="0.3" footer="0.3"/>
  <pageSetup orientation="portrait" horizontalDpi="4294967294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2"/>
  <sheetViews>
    <sheetView zoomScale="114" workbookViewId="0">
      <selection activeCell="F35" sqref="F35"/>
    </sheetView>
  </sheetViews>
  <sheetFormatPr baseColWidth="10" defaultColWidth="8.83203125" defaultRowHeight="15" x14ac:dyDescent="0.2"/>
  <cols>
    <col min="1" max="1" width="41.33203125" style="59" customWidth="1"/>
    <col min="2" max="2" width="14.33203125" style="59" customWidth="1"/>
    <col min="3" max="3" width="13.6640625" style="59" bestFit="1" customWidth="1"/>
    <col min="4" max="4" width="14.6640625" style="59" customWidth="1"/>
    <col min="5" max="5" width="12.33203125" style="59" customWidth="1"/>
    <col min="6" max="8" width="8.83203125" style="59"/>
    <col min="9" max="9" width="10.33203125" style="59" customWidth="1"/>
    <col min="10" max="10" width="12.33203125" style="59" customWidth="1"/>
    <col min="11" max="12" width="8.83203125" style="59"/>
    <col min="13" max="13" width="16.33203125" style="59" customWidth="1"/>
    <col min="14" max="16384" width="8.83203125" style="59"/>
  </cols>
  <sheetData>
    <row r="1" spans="1:5" x14ac:dyDescent="0.2">
      <c r="A1" s="59" t="s">
        <v>171</v>
      </c>
    </row>
    <row r="3" spans="1:5" x14ac:dyDescent="0.2">
      <c r="A3" s="64" t="s">
        <v>172</v>
      </c>
    </row>
    <row r="5" spans="1:5" x14ac:dyDescent="0.2">
      <c r="A5" s="59" t="s">
        <v>173</v>
      </c>
    </row>
    <row r="6" spans="1:5" x14ac:dyDescent="0.2">
      <c r="A6" s="59" t="s">
        <v>174</v>
      </c>
    </row>
    <row r="7" spans="1:5" x14ac:dyDescent="0.2">
      <c r="A7" s="59" t="s">
        <v>175</v>
      </c>
    </row>
    <row r="10" spans="1:5" x14ac:dyDescent="0.2">
      <c r="A10" s="64" t="s">
        <v>176</v>
      </c>
    </row>
    <row r="11" spans="1:5" x14ac:dyDescent="0.2">
      <c r="B11" s="123" t="s">
        <v>177</v>
      </c>
      <c r="C11" s="123" t="s">
        <v>50</v>
      </c>
      <c r="D11" s="123" t="s">
        <v>178</v>
      </c>
      <c r="E11" s="123" t="s">
        <v>179</v>
      </c>
    </row>
    <row r="12" spans="1:5" x14ac:dyDescent="0.2">
      <c r="B12" s="59" t="s">
        <v>180</v>
      </c>
      <c r="C12" s="59" t="s">
        <v>181</v>
      </c>
      <c r="D12" s="121">
        <f>D13*0.5</f>
        <v>6582.2340896025071</v>
      </c>
      <c r="E12" s="122">
        <f>E13-D13*0.5</f>
        <v>-5280.061527496111</v>
      </c>
    </row>
    <row r="13" spans="1:5" x14ac:dyDescent="0.2">
      <c r="B13" s="59" t="s">
        <v>182</v>
      </c>
      <c r="C13" s="59" t="s">
        <v>183</v>
      </c>
      <c r="D13" s="121">
        <f>'2. SalesPlan'!L24</f>
        <v>13164.468179205014</v>
      </c>
      <c r="E13" s="122">
        <f>'3. Profit &amp; Loss (Income)'!R28</f>
        <v>1302.1725621063961</v>
      </c>
    </row>
    <row r="14" spans="1:5" x14ac:dyDescent="0.2">
      <c r="B14" s="59" t="s">
        <v>184</v>
      </c>
      <c r="C14" s="59" t="s">
        <v>185</v>
      </c>
      <c r="D14" s="121">
        <f>D13*0.25+D13</f>
        <v>16455.585224006267</v>
      </c>
      <c r="E14" s="122">
        <f>D13*0.25+E13</f>
        <v>4593.2896069076496</v>
      </c>
    </row>
    <row r="15" spans="1:5" x14ac:dyDescent="0.2">
      <c r="B15" s="59" t="s">
        <v>186</v>
      </c>
      <c r="C15" s="59" t="s">
        <v>187</v>
      </c>
      <c r="D15" s="121">
        <f>D13*0.5+D13</f>
        <v>19746.702268807523</v>
      </c>
      <c r="E15" s="122">
        <f>D13*0.5+E13</f>
        <v>7884.4066517089032</v>
      </c>
    </row>
    <row r="17" spans="1:13" x14ac:dyDescent="0.2">
      <c r="A17" s="64" t="s">
        <v>43</v>
      </c>
      <c r="D17" s="118"/>
      <c r="E17" s="118"/>
      <c r="F17" s="139"/>
      <c r="G17" s="139"/>
      <c r="H17" s="118"/>
      <c r="I17" s="118"/>
      <c r="J17" s="139"/>
      <c r="K17" s="139"/>
      <c r="L17" s="118"/>
      <c r="M17" s="118"/>
    </row>
    <row r="18" spans="1:13" x14ac:dyDescent="0.2">
      <c r="A18" s="64"/>
      <c r="B18" s="133" t="s">
        <v>177</v>
      </c>
      <c r="C18" s="133" t="s">
        <v>188</v>
      </c>
      <c r="D18" s="133" t="s">
        <v>189</v>
      </c>
      <c r="E18" s="133" t="s">
        <v>179</v>
      </c>
      <c r="F18" s="140"/>
      <c r="G18" s="140"/>
      <c r="H18" s="119"/>
      <c r="I18" s="119"/>
      <c r="J18" s="140"/>
      <c r="K18" s="140"/>
      <c r="L18" s="119"/>
      <c r="M18" s="119"/>
    </row>
    <row r="19" spans="1:13" x14ac:dyDescent="0.2">
      <c r="B19" s="59" t="s">
        <v>180</v>
      </c>
      <c r="C19" s="125">
        <f>C20*0.5</f>
        <v>996.08530611108824</v>
      </c>
      <c r="D19" s="128">
        <f>D20*0.5</f>
        <v>15360.64213329326</v>
      </c>
      <c r="E19" s="128">
        <f>D20*0.5-'3. Profit &amp; Loss (Income)'!R25</f>
        <v>-14058.469571186864</v>
      </c>
      <c r="F19" s="119"/>
      <c r="G19" s="119"/>
      <c r="H19" s="119"/>
      <c r="I19" s="119"/>
      <c r="J19" s="119"/>
      <c r="K19" s="119"/>
      <c r="L19" s="119"/>
      <c r="M19" s="119"/>
    </row>
    <row r="20" spans="1:13" x14ac:dyDescent="0.2">
      <c r="B20" s="59" t="s">
        <v>182</v>
      </c>
      <c r="C20" s="124">
        <f>'2. SalesPlan'!S8</f>
        <v>1992.1706122221765</v>
      </c>
      <c r="D20" s="129">
        <f>'3. Profit &amp; Loss (Income)'!R8</f>
        <v>30721.284266586521</v>
      </c>
      <c r="E20" s="129">
        <f>'3. Profit &amp; Loss (Income)'!R28</f>
        <v>1302.1725621063961</v>
      </c>
      <c r="F20" s="120"/>
      <c r="G20" s="120"/>
      <c r="H20" s="120"/>
      <c r="I20" s="120"/>
      <c r="J20" s="120"/>
      <c r="K20" s="120"/>
      <c r="L20" s="120"/>
      <c r="M20" s="120"/>
    </row>
    <row r="21" spans="1:13" x14ac:dyDescent="0.2">
      <c r="B21" s="59" t="s">
        <v>184</v>
      </c>
      <c r="C21" s="126">
        <f>C20*0.25+C20</f>
        <v>2490.2132652777204</v>
      </c>
      <c r="D21" s="130">
        <f>D20*0.25+D20</f>
        <v>38401.60533323315</v>
      </c>
      <c r="E21" s="131">
        <f>D21-'3. Profit &amp; Loss (Income)'!R25</f>
        <v>8982.4936287530254</v>
      </c>
      <c r="J21" s="139"/>
      <c r="K21" s="139"/>
    </row>
    <row r="22" spans="1:13" x14ac:dyDescent="0.2">
      <c r="B22" s="59" t="s">
        <v>186</v>
      </c>
      <c r="C22" s="127">
        <f>C20*0.5+C20</f>
        <v>2988.2559183332646</v>
      </c>
      <c r="D22" s="132">
        <f>D20*0.5+D20</f>
        <v>46081.926399879783</v>
      </c>
      <c r="E22" s="131">
        <f>D22-'3. Profit &amp; Loss (Income)'!R25</f>
        <v>16662.814695399658</v>
      </c>
    </row>
    <row r="23" spans="1:13" s="64" customFormat="1" x14ac:dyDescent="0.2">
      <c r="B23" s="65"/>
      <c r="C23" s="68"/>
      <c r="D23" s="66"/>
    </row>
    <row r="24" spans="1:13" x14ac:dyDescent="0.2">
      <c r="A24" s="64" t="s">
        <v>190</v>
      </c>
      <c r="B24" s="62"/>
      <c r="C24" s="67"/>
      <c r="D24" s="60"/>
    </row>
    <row r="25" spans="1:13" x14ac:dyDescent="0.2">
      <c r="B25" s="136" t="s">
        <v>177</v>
      </c>
      <c r="C25" s="137" t="s">
        <v>191</v>
      </c>
      <c r="D25" s="138" t="s">
        <v>192</v>
      </c>
    </row>
    <row r="26" spans="1:13" x14ac:dyDescent="0.2">
      <c r="B26" s="8" t="s">
        <v>193</v>
      </c>
      <c r="C26" s="134">
        <v>0</v>
      </c>
      <c r="D26" s="134">
        <f>D27+C27</f>
        <v>5802.1725621063961</v>
      </c>
    </row>
    <row r="27" spans="1:13" x14ac:dyDescent="0.2">
      <c r="B27" s="62" t="s">
        <v>194</v>
      </c>
      <c r="C27" s="135">
        <f>'3. Profit &amp; Loss (Income)'!R23</f>
        <v>4500</v>
      </c>
      <c r="D27" s="135">
        <f>E20</f>
        <v>1302.1725621063961</v>
      </c>
    </row>
    <row r="28" spans="1:13" x14ac:dyDescent="0.2">
      <c r="B28" s="62" t="s">
        <v>195</v>
      </c>
      <c r="C28" s="135">
        <f>C27*2</f>
        <v>9000</v>
      </c>
      <c r="D28" s="135">
        <f>D27-C27</f>
        <v>-3197.8274378936039</v>
      </c>
    </row>
    <row r="29" spans="1:13" x14ac:dyDescent="0.2">
      <c r="B29" s="62" t="s">
        <v>196</v>
      </c>
      <c r="C29" s="135">
        <f>C27*3</f>
        <v>13500</v>
      </c>
      <c r="D29" s="135">
        <f>D27-C28</f>
        <v>-7697.8274378936039</v>
      </c>
    </row>
    <row r="30" spans="1:13" x14ac:dyDescent="0.2">
      <c r="B30" s="62"/>
      <c r="C30" s="60"/>
      <c r="D30" s="60"/>
    </row>
    <row r="31" spans="1:13" x14ac:dyDescent="0.2">
      <c r="B31" s="62"/>
      <c r="C31" s="60"/>
      <c r="D31" s="60"/>
    </row>
    <row r="32" spans="1:13" x14ac:dyDescent="0.2">
      <c r="B32" s="63"/>
      <c r="C32" s="61"/>
      <c r="D32" s="61"/>
    </row>
  </sheetData>
  <mergeCells count="5">
    <mergeCell ref="F17:G17"/>
    <mergeCell ref="F18:G18"/>
    <mergeCell ref="J17:K17"/>
    <mergeCell ref="J18:K18"/>
    <mergeCell ref="J21:K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"/>
  <sheetViews>
    <sheetView workbookViewId="0">
      <selection activeCell="L20" sqref="L20"/>
    </sheetView>
  </sheetViews>
  <sheetFormatPr baseColWidth="10" defaultColWidth="9.1640625" defaultRowHeight="15" x14ac:dyDescent="0.2"/>
  <cols>
    <col min="1" max="1" width="18.5" customWidth="1"/>
    <col min="4" max="4" width="31.33203125" bestFit="1" customWidth="1"/>
    <col min="5" max="5" width="11.33203125" bestFit="1" customWidth="1"/>
    <col min="6" max="6" width="39.83203125" customWidth="1"/>
    <col min="7" max="7" width="15" bestFit="1" customWidth="1"/>
    <col min="8" max="8" width="8.83203125" customWidth="1"/>
  </cols>
  <sheetData>
    <row r="1" spans="1:9" x14ac:dyDescent="0.2">
      <c r="A1" t="s">
        <v>197</v>
      </c>
    </row>
    <row r="3" spans="1:9" x14ac:dyDescent="0.2">
      <c r="A3" s="45" t="s">
        <v>198</v>
      </c>
      <c r="D3" t="s">
        <v>199</v>
      </c>
      <c r="F3" t="s">
        <v>200</v>
      </c>
      <c r="I3" t="s">
        <v>201</v>
      </c>
    </row>
    <row r="5" spans="1:9" x14ac:dyDescent="0.2">
      <c r="A5" s="45" t="s">
        <v>202</v>
      </c>
      <c r="D5" t="s">
        <v>203</v>
      </c>
      <c r="F5" t="s">
        <v>204</v>
      </c>
      <c r="H5" t="s">
        <v>87</v>
      </c>
      <c r="I5" t="s">
        <v>205</v>
      </c>
    </row>
    <row r="9" spans="1:9" x14ac:dyDescent="0.2">
      <c r="A9" s="45" t="s">
        <v>206</v>
      </c>
    </row>
    <row r="10" spans="1:9" x14ac:dyDescent="0.2">
      <c r="C10" s="108" t="s">
        <v>207</v>
      </c>
      <c r="D10" s="108" t="s">
        <v>208</v>
      </c>
      <c r="E10" s="108" t="s">
        <v>209</v>
      </c>
      <c r="F10" s="108" t="s">
        <v>210</v>
      </c>
      <c r="G10" s="108" t="s">
        <v>211</v>
      </c>
      <c r="H10" s="108" t="s">
        <v>212</v>
      </c>
    </row>
    <row r="11" spans="1:9" x14ac:dyDescent="0.2">
      <c r="C11" t="s">
        <v>213</v>
      </c>
      <c r="D11" s="47">
        <f>'2. SalesPlan'!H13</f>
        <v>50</v>
      </c>
      <c r="E11" s="62">
        <f>'2. SalesPlan'!I13</f>
        <v>0.1</v>
      </c>
      <c r="F11" s="47">
        <f>'2. SalesPlan'!J13</f>
        <v>5</v>
      </c>
      <c r="G11" s="112">
        <f>'3. Profit &amp; Loss (Income)'!F8</f>
        <v>202.45</v>
      </c>
      <c r="H11">
        <f>G11/D11</f>
        <v>4.0489999999999995</v>
      </c>
    </row>
    <row r="12" spans="1:9" x14ac:dyDescent="0.2">
      <c r="C12" t="s">
        <v>214</v>
      </c>
      <c r="D12" s="47">
        <f>'2. SalesPlan'!H15</f>
        <v>249.60000000000002</v>
      </c>
      <c r="E12" s="62">
        <f>'2. SalesPlan'!I15</f>
        <v>0.11454545454545455</v>
      </c>
      <c r="F12" s="47">
        <f>'2. SalesPlan'!J15</f>
        <v>28.590545454545456</v>
      </c>
      <c r="G12" s="112">
        <f>'3. Profit &amp; Loss (Income)'!H8</f>
        <v>740.43845818181831</v>
      </c>
      <c r="H12">
        <f t="shared" ref="H12:H15" si="0">G12/D12</f>
        <v>2.9665002331002333</v>
      </c>
    </row>
    <row r="13" spans="1:9" x14ac:dyDescent="0.2">
      <c r="C13" t="s">
        <v>215</v>
      </c>
      <c r="D13" s="47">
        <f>'2. SalesPlan'!H18</f>
        <v>699.57887999999991</v>
      </c>
      <c r="E13" s="62">
        <f>'2. SalesPlan'!I18</f>
        <v>0.13636363636363635</v>
      </c>
      <c r="F13" s="47">
        <f>'2. SalesPlan'!J18</f>
        <v>95.397119999999987</v>
      </c>
      <c r="G13" s="112">
        <f>'3. Profit &amp; Loss (Income)'!K8</f>
        <v>1986.6965888</v>
      </c>
      <c r="H13">
        <f t="shared" si="0"/>
        <v>2.8398464356156667</v>
      </c>
    </row>
    <row r="14" spans="1:9" x14ac:dyDescent="0.2">
      <c r="C14" t="s">
        <v>216</v>
      </c>
      <c r="D14" s="47">
        <f>'2. SalesPlan'!H21</f>
        <v>1299.1767447859197</v>
      </c>
      <c r="E14" s="62">
        <f>'2. SalesPlan'!I21</f>
        <v>0.15818181818181817</v>
      </c>
      <c r="F14" s="47">
        <f>'2. SalesPlan'!J21</f>
        <v>205.50613962977275</v>
      </c>
      <c r="G14" s="112">
        <f>'3. Profit &amp; Loss (Income)'!N8</f>
        <v>3765.9649866242839</v>
      </c>
      <c r="H14">
        <f t="shared" si="0"/>
        <v>2.8987318328614675</v>
      </c>
    </row>
    <row r="15" spans="1:9" x14ac:dyDescent="0.2">
      <c r="C15" t="s">
        <v>217</v>
      </c>
      <c r="D15" s="47">
        <f>'2. SalesPlan'!H24</f>
        <v>1992.1706122221765</v>
      </c>
      <c r="E15" s="62">
        <f>'2. SalesPlan'!I24</f>
        <v>0.18</v>
      </c>
      <c r="F15" s="47">
        <f>'2. SalesPlan'!J24</f>
        <v>358.59071019999175</v>
      </c>
      <c r="G15" s="112">
        <f>'3. Profit &amp; Loss (Income)'!Q8</f>
        <v>6005.3530397756549</v>
      </c>
      <c r="H15">
        <f t="shared" si="0"/>
        <v>3.0144772756571059</v>
      </c>
    </row>
    <row r="16" spans="1:9" x14ac:dyDescent="0.2">
      <c r="G16" s="110"/>
    </row>
  </sheetData>
  <pageMargins left="0.7" right="0.7" top="0.75" bottom="0.75" header="0.3" footer="0.3"/>
  <pageSetup paperSize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"/>
  <sheetViews>
    <sheetView workbookViewId="0">
      <selection activeCell="H4" sqref="H4"/>
    </sheetView>
  </sheetViews>
  <sheetFormatPr baseColWidth="10" defaultColWidth="9.1640625" defaultRowHeight="15" x14ac:dyDescent="0.2"/>
  <cols>
    <col min="1" max="1" width="31" customWidth="1"/>
    <col min="2" max="2" width="20.5" customWidth="1"/>
    <col min="7" max="7" width="17.5" customWidth="1"/>
    <col min="8" max="8" width="16.83203125" customWidth="1"/>
  </cols>
  <sheetData>
    <row r="1" spans="1:11" ht="16" x14ac:dyDescent="0.2">
      <c r="A1" s="70" t="s">
        <v>218</v>
      </c>
      <c r="B1" s="70"/>
      <c r="C1" s="70"/>
      <c r="D1" s="70"/>
      <c r="E1" s="70"/>
      <c r="F1" s="70"/>
      <c r="G1" s="70" t="s">
        <v>219</v>
      </c>
      <c r="H1" s="70"/>
      <c r="I1" s="70"/>
      <c r="J1" s="70"/>
    </row>
    <row r="2" spans="1:11" x14ac:dyDescent="0.2">
      <c r="A2" s="71"/>
      <c r="B2" s="71"/>
      <c r="C2" s="71"/>
      <c r="D2" s="71"/>
      <c r="E2" s="71"/>
      <c r="F2" s="71"/>
      <c r="G2" s="71"/>
      <c r="H2" s="71"/>
      <c r="I2" s="71"/>
      <c r="J2" s="71"/>
    </row>
    <row r="3" spans="1:11" x14ac:dyDescent="0.2">
      <c r="A3" s="71"/>
      <c r="B3" s="71"/>
      <c r="C3" s="71" t="s">
        <v>220</v>
      </c>
      <c r="D3" s="71"/>
      <c r="E3" s="71"/>
      <c r="F3" s="71"/>
      <c r="G3" s="71"/>
      <c r="H3" s="71"/>
      <c r="I3" s="71"/>
      <c r="J3" s="62"/>
      <c r="K3" s="71"/>
    </row>
    <row r="4" spans="1:11" x14ac:dyDescent="0.2">
      <c r="A4" s="71" t="s">
        <v>221</v>
      </c>
      <c r="B4" s="74">
        <f>'4. Cash-flow statement'!E5</f>
        <v>15000</v>
      </c>
      <c r="C4" s="62">
        <f>B4/$B$6</f>
        <v>0.92012275927361775</v>
      </c>
      <c r="D4" s="71"/>
      <c r="E4" s="71"/>
      <c r="F4" s="71"/>
      <c r="G4" s="71" t="s">
        <v>222</v>
      </c>
      <c r="H4" s="74"/>
      <c r="I4" s="62"/>
      <c r="J4" s="62"/>
      <c r="K4" s="71"/>
    </row>
    <row r="5" spans="1:11" x14ac:dyDescent="0.2">
      <c r="A5" s="71" t="s">
        <v>144</v>
      </c>
      <c r="B5" s="74">
        <f>'3. Profit &amp; Loss (Income)'!R28</f>
        <v>1302.1725621063961</v>
      </c>
      <c r="C5" s="62">
        <f>B5/$B$6</f>
        <v>7.9877240726382234E-2</v>
      </c>
      <c r="D5" s="71"/>
      <c r="E5" s="71"/>
      <c r="F5" s="71"/>
      <c r="G5" s="71" t="s">
        <v>223</v>
      </c>
      <c r="H5" s="74"/>
      <c r="I5" s="62"/>
      <c r="J5" s="62"/>
    </row>
    <row r="6" spans="1:11" x14ac:dyDescent="0.2">
      <c r="A6" s="71" t="s">
        <v>224</v>
      </c>
      <c r="B6" s="74">
        <f>SUM(B4:B5)</f>
        <v>16302.172562106396</v>
      </c>
      <c r="C6" s="73">
        <f>SUM(C4:C5)</f>
        <v>1</v>
      </c>
      <c r="D6" s="71"/>
      <c r="E6" s="71"/>
      <c r="F6" s="71"/>
      <c r="G6" s="71" t="s">
        <v>225</v>
      </c>
      <c r="H6" s="74"/>
      <c r="I6" s="73"/>
      <c r="J6" s="65"/>
    </row>
    <row r="7" spans="1:11" x14ac:dyDescent="0.2">
      <c r="A7" s="71"/>
      <c r="B7" s="71"/>
      <c r="C7" s="71"/>
      <c r="D7" s="71"/>
      <c r="E7" s="71"/>
      <c r="F7" s="71"/>
      <c r="G7" s="71"/>
      <c r="H7" s="71"/>
      <c r="I7" s="71"/>
      <c r="J7" s="71"/>
    </row>
    <row r="8" spans="1:11" x14ac:dyDescent="0.2">
      <c r="A8" s="71"/>
      <c r="B8" s="71"/>
      <c r="C8" s="71"/>
      <c r="D8" s="71"/>
      <c r="E8" s="71"/>
      <c r="F8" s="71"/>
      <c r="G8" s="71"/>
      <c r="H8" s="71"/>
      <c r="I8" s="71"/>
      <c r="J8" s="71"/>
    </row>
    <row r="9" spans="1:11" x14ac:dyDescent="0.2">
      <c r="A9" s="71"/>
      <c r="B9" s="71"/>
      <c r="C9" s="71"/>
      <c r="D9" s="71"/>
      <c r="E9" s="71"/>
      <c r="F9" s="71"/>
      <c r="G9" s="71"/>
      <c r="H9" s="71"/>
      <c r="I9" s="71"/>
      <c r="J9" s="71"/>
    </row>
    <row r="10" spans="1:11" x14ac:dyDescent="0.2">
      <c r="A10" s="71"/>
      <c r="B10" s="71"/>
      <c r="C10" s="71"/>
      <c r="D10" s="72"/>
      <c r="E10" s="71"/>
      <c r="F10" s="71"/>
      <c r="G10" s="71"/>
      <c r="H10" s="71"/>
      <c r="I10" s="71"/>
      <c r="J10" s="71"/>
    </row>
    <row r="11" spans="1:11" x14ac:dyDescent="0.2">
      <c r="A11" s="71"/>
      <c r="B11" s="71"/>
      <c r="C11" s="71"/>
      <c r="D11" s="73"/>
      <c r="E11" s="72"/>
      <c r="F11" s="72"/>
      <c r="G11" s="71"/>
      <c r="H11" s="71"/>
      <c r="I11" s="71"/>
      <c r="J11" s="71"/>
    </row>
    <row r="12" spans="1:11" x14ac:dyDescent="0.2">
      <c r="A12" s="71"/>
      <c r="B12" s="71"/>
      <c r="C12" s="71"/>
      <c r="D12" s="71"/>
      <c r="E12" s="71"/>
      <c r="F12" s="71"/>
      <c r="G12" s="71"/>
      <c r="H12" s="71"/>
      <c r="I12" s="71"/>
      <c r="J12" s="71"/>
    </row>
  </sheetData>
  <pageMargins left="0.7" right="0.7" top="0.75" bottom="0.75" header="0.3" footer="0.3"/>
  <pageSetup paperSize="0" orientation="portrait" r:id="rId1"/>
</worksheet>
</file>

<file path=docMetadata/LabelInfo.xml><?xml version="1.0" encoding="utf-8"?>
<clbl:labelList xmlns:clbl="http://schemas.microsoft.com/office/2020/mipLabelMetadata">
  <clbl:label id="{90a8aec3-e044-4c52-b490-93621ab5ae6b}" enabled="0" method="" siteId="{90a8aec3-e044-4c52-b490-93621ab5ae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</vt:lpstr>
      <vt:lpstr>1.Hiring Plan</vt:lpstr>
      <vt:lpstr>2. SalesPlan</vt:lpstr>
      <vt:lpstr>3. Profit &amp; Loss (Income)</vt:lpstr>
      <vt:lpstr>4. Cash-flow statement</vt:lpstr>
      <vt:lpstr>5. Balance Sheet</vt:lpstr>
      <vt:lpstr>6. CAC &amp; CLV</vt:lpstr>
      <vt:lpstr>7. Sensitivity Analysis</vt:lpstr>
      <vt:lpstr>8. KPIs</vt:lpstr>
      <vt:lpstr>9. Cap Tables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</dc:creator>
  <cp:keywords/>
  <dc:description/>
  <cp:lastModifiedBy>Brett Cruz, Nico</cp:lastModifiedBy>
  <cp:revision/>
  <dcterms:created xsi:type="dcterms:W3CDTF">2010-08-07T10:09:39Z</dcterms:created>
  <dcterms:modified xsi:type="dcterms:W3CDTF">2026-07-23T16:25:07Z</dcterms:modified>
  <cp:category/>
  <cp:contentStatus/>
</cp:coreProperties>
</file>